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Sharpner\Case study 2\"/>
    </mc:Choice>
  </mc:AlternateContent>
  <xr:revisionPtr revIDLastSave="0" documentId="13_ncr:1_{7B40E45B-2238-4203-A757-69EAACAF3789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Churn rate by customer segment" sheetId="2" r:id="rId1"/>
    <sheet name="Subscription Type vs Churn" sheetId="3" r:id="rId2"/>
    <sheet name="Engagement vs Churn" sheetId="4" r:id="rId3"/>
    <sheet name="Age Group vs churn" sheetId="5" r:id="rId4"/>
    <sheet name="Subscription Average Months" sheetId="6" r:id="rId5"/>
    <sheet name="Average revenue by customer" sheetId="7" r:id="rId6"/>
    <sheet name="Sheet7" sheetId="8" r:id="rId7"/>
    <sheet name="Sheet1" sheetId="9" r:id="rId8"/>
    <sheet name="Data" sheetId="1" r:id="rId9"/>
  </sheets>
  <calcPr calcId="191029"/>
  <pivotCaches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M2" i="1"/>
  <c r="L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</calcChain>
</file>

<file path=xl/sharedStrings.xml><?xml version="1.0" encoding="utf-8"?>
<sst xmlns="http://schemas.openxmlformats.org/spreadsheetml/2006/main" count="4593" uniqueCount="947">
  <si>
    <t>CustomerID</t>
  </si>
  <si>
    <t>JoinDate</t>
  </si>
  <si>
    <t>CancelDate</t>
  </si>
  <si>
    <t>Age</t>
  </si>
  <si>
    <t>Gender</t>
  </si>
  <si>
    <t>Location</t>
  </si>
  <si>
    <t>SubscriptionType</t>
  </si>
  <si>
    <t>TotalSpent</t>
  </si>
  <si>
    <t>BoxesReceived</t>
  </si>
  <si>
    <t>EngagementScore</t>
  </si>
  <si>
    <t>PaymentMode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</si>
  <si>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</si>
  <si>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</si>
  <si>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</si>
  <si>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</si>
  <si>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</si>
  <si>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</si>
  <si>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</si>
  <si>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</si>
  <si>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</si>
  <si>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</si>
  <si>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</si>
  <si>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</si>
  <si>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</si>
  <si>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</si>
  <si>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</si>
  <si>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</si>
  <si>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</si>
  <si>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</si>
  <si>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</si>
  <si>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</si>
  <si>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</si>
  <si>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</si>
  <si>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</si>
  <si>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</si>
  <si>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</si>
  <si>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</si>
  <si>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</si>
  <si>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</si>
  <si>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</si>
  <si>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</si>
  <si>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</si>
  <si>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</si>
  <si>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</si>
  <si>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</si>
  <si>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</si>
  <si>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</si>
  <si>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</si>
  <si>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</si>
  <si>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</si>
  <si>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</si>
  <si>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</si>
  <si>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</si>
  <si>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</si>
  <si>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</si>
  <si>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</si>
  <si>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</si>
  <si>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</si>
  <si>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</si>
  <si>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</si>
  <si>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</si>
  <si>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</si>
  <si>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</si>
  <si>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</si>
  <si>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</si>
  <si>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</si>
  <si>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</si>
  <si>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</si>
  <si>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</si>
  <si>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</si>
  <si>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</si>
  <si>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</si>
  <si>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</si>
  <si>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</si>
  <si>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</si>
  <si>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</si>
  <si>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</si>
  <si>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</si>
  <si>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</si>
  <si>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</si>
  <si>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</si>
  <si>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</si>
  <si>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</si>
  <si>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</si>
  <si>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</si>
  <si>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</si>
  <si>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</si>
  <si>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</si>
  <si>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</si>
  <si>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</si>
  <si>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</si>
  <si>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</si>
  <si>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</si>
  <si>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</si>
  <si>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</si>
  <si>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</si>
  <si>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</si>
  <si>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</si>
  <si>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</si>
  <si>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</si>
  <si>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</si>
  <si>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</si>
  <si>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</si>
  <si>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</si>
  <si>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</si>
  <si>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</si>
  <si>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</si>
  <si>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</si>
  <si>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</si>
  <si>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</si>
  <si>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</si>
  <si>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</si>
  <si>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</si>
  <si>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</si>
  <si>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</si>
  <si>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</si>
  <si>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</si>
  <si>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</si>
  <si>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</si>
  <si>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</si>
  <si>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</si>
  <si>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</si>
  <si>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</si>
  <si>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</si>
  <si>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</si>
  <si>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</si>
  <si>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</si>
  <si>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</si>
  <si>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</si>
  <si>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</si>
  <si>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</si>
  <si>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</si>
  <si>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</si>
  <si>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</si>
  <si>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</si>
  <si>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</si>
  <si>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</si>
  <si>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</si>
  <si>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</si>
  <si>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</si>
  <si>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</si>
  <si>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</si>
  <si>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</si>
  <si>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</si>
  <si>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</si>
  <si>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</si>
  <si>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</si>
  <si>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</si>
  <si>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</si>
  <si>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</si>
  <si>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</si>
  <si>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</si>
  <si>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</si>
  <si>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</si>
  <si>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</si>
  <si>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</si>
  <si>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</si>
  <si>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</si>
  <si>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</si>
  <si>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</si>
  <si>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</si>
  <si>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</si>
  <si>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</si>
  <si>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</si>
  <si>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</si>
  <si>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</si>
  <si>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</si>
  <si>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</si>
  <si>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</si>
  <si>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</si>
  <si>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</si>
  <si>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</si>
  <si>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</si>
  <si>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</si>
  <si>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</si>
  <si>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</si>
  <si>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</si>
  <si>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</si>
  <si>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</si>
  <si>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</si>
  <si>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</si>
  <si>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</si>
  <si>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</si>
  <si>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</si>
  <si>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</si>
  <si>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</si>
  <si>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</si>
  <si>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</si>
  <si>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</si>
  <si>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</si>
  <si>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</si>
  <si>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</si>
  <si>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</si>
  <si>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</si>
  <si>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</si>
  <si>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</si>
  <si>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</si>
  <si>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</si>
  <si>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</si>
  <si>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</si>
  <si>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</si>
  <si>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</si>
  <si>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</si>
  <si>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</si>
  <si>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</si>
  <si>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</si>
  <si>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</si>
  <si>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</si>
  <si>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</si>
  <si>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</si>
  <si>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</si>
  <si>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</si>
  <si>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</si>
  <si>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</si>
  <si>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</si>
  <si>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</si>
  <si>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</si>
  <si>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</si>
  <si>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</si>
  <si>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</si>
  <si>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</si>
  <si>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</si>
  <si>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</si>
  <si>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</si>
  <si>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</si>
  <si>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</si>
  <si>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</si>
  <si>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</si>
  <si>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</si>
  <si>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</si>
  <si>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</si>
  <si>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</si>
  <si>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</si>
  <si>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</si>
  <si>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</si>
  <si>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</si>
  <si>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</si>
  <si>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</si>
  <si>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</si>
  <si>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</si>
  <si>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</si>
  <si>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</si>
  <si>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</si>
  <si>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</si>
  <si>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</si>
  <si>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</si>
  <si>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</si>
  <si>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</si>
  <si>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</si>
  <si>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</si>
  <si>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</si>
  <si>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</si>
  <si>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</si>
  <si>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</si>
  <si>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</si>
  <si>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</si>
  <si>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</si>
  <si>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</si>
  <si>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</si>
  <si>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</si>
  <si>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</si>
  <si>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</si>
  <si>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</si>
  <si>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</si>
  <si>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</si>
  <si>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</si>
  <si>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</si>
  <si>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</si>
  <si>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</si>
  <si>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</si>
  <si>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</si>
  <si>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</si>
  <si>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</si>
  <si>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</si>
  <si>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</si>
  <si>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</si>
  <si>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</si>
  <si>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</si>
  <si>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</si>
  <si>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</si>
  <si>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</si>
  <si>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</si>
  <si>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</si>
  <si>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</si>
  <si>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</si>
  <si>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</si>
  <si>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</si>
  <si>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</si>
  <si>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</si>
  <si>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</si>
  <si>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</si>
  <si>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</si>
  <si>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</si>
  <si>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</si>
  <si>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</si>
  <si>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</si>
  <si>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</si>
  <si>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</si>
  <si>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</si>
  <si>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</si>
  <si>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</si>
  <si>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</si>
  <si>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</si>
  <si>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</si>
  <si>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</si>
  <si>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</si>
  <si>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</si>
  <si>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</si>
  <si>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</si>
  <si>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</si>
  <si>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</si>
  <si>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</si>
  <si>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</si>
  <si>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</si>
  <si>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</si>
  <si>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</si>
  <si>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</si>
  <si>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</si>
  <si>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</si>
  <si>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</si>
  <si>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</si>
  <si>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</si>
  <si>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</si>
  <si>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</si>
  <si>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</si>
  <si>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</si>
  <si>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</si>
  <si>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</si>
  <si>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</si>
  <si>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</si>
  <si>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</si>
  <si>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</si>
  <si>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</si>
  <si>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</si>
  <si>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</si>
  <si>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</si>
  <si>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</si>
  <si>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</si>
  <si>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</si>
  <si>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</si>
  <si>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</si>
  <si>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</si>
  <si>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</si>
  <si>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</si>
  <si>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</si>
  <si>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</si>
  <si>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</si>
  <si>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</si>
  <si>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</si>
  <si>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</si>
  <si>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</si>
  <si>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</si>
  <si>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</si>
  <si>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</si>
  <si>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</si>
  <si>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</si>
  <si>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</si>
  <si>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</si>
  <si>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</si>
  <si>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</si>
  <si>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</si>
  <si>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</si>
  <si>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</si>
  <si>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</si>
  <si>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</si>
  <si>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</si>
  <si>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</si>
  <si>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</si>
  <si>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</si>
  <si>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</si>
  <si>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</si>
  <si>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</si>
  <si>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</si>
  <si>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</si>
  <si>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</si>
  <si>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</si>
  <si>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</si>
  <si>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</si>
  <si>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</si>
  <si>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</si>
  <si>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</si>
  <si>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</si>
  <si>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</si>
  <si>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</si>
  <si>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</si>
  <si>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</si>
  <si>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</si>
  <si>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</si>
  <si>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</si>
  <si>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</si>
  <si>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</si>
  <si>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</si>
  <si>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</si>
  <si>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</si>
  <si>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</si>
  <si>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</si>
  <si>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</si>
  <si>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</si>
  <si>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</si>
  <si>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</si>
  <si>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</si>
  <si>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</si>
  <si>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</si>
  <si>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</si>
  <si>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</si>
  <si>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</si>
  <si>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</si>
  <si>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</si>
  <si>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</si>
  <si>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</si>
  <si>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</si>
  <si>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</si>
  <si>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</si>
  <si>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</si>
  <si>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</si>
  <si>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</si>
  <si>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</si>
  <si>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</si>
  <si>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</si>
  <si>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</si>
  <si>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</si>
  <si>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</si>
  <si>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</si>
  <si>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</si>
  <si>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</si>
  <si>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</si>
  <si>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</si>
  <si>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</si>
  <si>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</si>
  <si>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</si>
  <si>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</si>
  <si>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</si>
  <si>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</si>
  <si>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</si>
  <si>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</si>
  <si>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</si>
  <si>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</si>
  <si>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</si>
  <si>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</si>
  <si>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</si>
  <si>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</si>
  <si>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</si>
  <si>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</si>
  <si>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</si>
  <si>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</si>
  <si>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</si>
  <si>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</si>
  <si>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</si>
  <si>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</si>
  <si>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</si>
  <si>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</si>
  <si>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</si>
  <si>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</si>
  <si>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</si>
  <si>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</si>
  <si>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</si>
  <si>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</si>
  <si>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</si>
  <si>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</si>
  <si>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</si>
  <si>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</si>
  <si>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</si>
  <si>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</si>
  <si>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</si>
  <si>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</si>
  <si>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</si>
  <si>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</si>
  <si>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</si>
  <si>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</si>
  <si>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</si>
  <si>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</si>
  <si>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</si>
  <si>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</si>
  <si>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</si>
  <si>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</si>
  <si>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</si>
  <si>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</si>
  <si>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</si>
  <si>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</si>
  <si>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</si>
  <si>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</si>
  <si>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</si>
  <si>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</si>
  <si>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</si>
  <si>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</si>
  <si>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</si>
  <si>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</si>
  <si>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</si>
  <si>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</si>
  <si>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</si>
  <si>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</si>
  <si>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</si>
  <si>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</si>
  <si>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</si>
  <si>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</si>
  <si>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</si>
  <si>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</si>
  <si>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</si>
  <si>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</si>
  <si>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</si>
  <si>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</si>
  <si>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</si>
  <si>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</si>
  <si>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</si>
  <si>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</si>
  <si>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</si>
  <si>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</si>
  <si>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</si>
  <si>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</si>
  <si>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</si>
  <si>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</si>
  <si>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</si>
  <si>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</si>
  <si>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</si>
  <si>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</si>
  <si>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</si>
  <si>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</si>
  <si>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</si>
  <si>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</si>
  <si>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</si>
  <si>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</si>
  <si>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</si>
  <si>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</si>
  <si>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</si>
  <si>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</si>
  <si>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</si>
  <si>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</si>
  <si>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</si>
  <si>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</si>
  <si>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</si>
  <si>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</si>
  <si>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</si>
  <si>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</si>
  <si>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</si>
  <si>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</si>
  <si>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</si>
  <si>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</si>
  <si>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</si>
  <si>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</si>
  <si>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</si>
  <si>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</si>
  <si>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</si>
  <si>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</si>
  <si>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</si>
  <si>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</si>
  <si>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</si>
  <si>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</si>
  <si>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</si>
  <si>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</si>
  <si>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</si>
  <si>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</si>
  <si>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</si>
  <si>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</si>
  <si>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</si>
  <si>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</si>
  <si>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</si>
  <si>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</si>
  <si>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</si>
  <si>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</si>
  <si>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</si>
  <si>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</si>
  <si>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</si>
  <si>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</si>
  <si>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</si>
  <si>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</si>
  <si>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</si>
  <si>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</si>
  <si>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</si>
  <si>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</si>
  <si>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</si>
  <si>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</si>
  <si>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</si>
  <si>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</si>
  <si>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</si>
  <si>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</si>
  <si>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</si>
  <si>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</si>
  <si>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</si>
  <si>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</si>
  <si>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</si>
  <si>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</si>
  <si>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</si>
  <si>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</si>
  <si>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</si>
  <si>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</si>
  <si>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</si>
  <si>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</si>
  <si>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</si>
  <si>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</si>
  <si>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</si>
  <si>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</si>
  <si>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</si>
  <si>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</si>
  <si>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</si>
  <si>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</si>
  <si>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</si>
  <si>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</si>
  <si>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</si>
  <si>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</si>
  <si>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</si>
  <si>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</si>
  <si>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</si>
  <si>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</si>
  <si>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</si>
  <si>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</si>
  <si>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</si>
  <si>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</si>
  <si>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</si>
  <si>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</si>
  <si>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</si>
  <si>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</si>
  <si>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</si>
  <si>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</si>
  <si>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</si>
  <si>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</si>
  <si>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</si>
  <si>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</si>
  <si>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</si>
  <si>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</si>
  <si>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</si>
  <si>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</si>
  <si>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</si>
  <si>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</si>
  <si>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</si>
  <si>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</si>
  <si>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</si>
  <si>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</si>
  <si>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</si>
  <si>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</si>
  <si>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</si>
  <si>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</si>
  <si>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</si>
  <si>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</si>
  <si>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</si>
  <si>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</si>
  <si>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</si>
  <si>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</si>
  <si>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</si>
  <si>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</si>
  <si>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</si>
  <si>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</si>
  <si>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</si>
  <si>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</si>
  <si>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</si>
  <si>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</si>
  <si>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</si>
  <si>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</si>
  <si>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</si>
  <si>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</si>
  <si>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</si>
  <si>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</si>
  <si>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</si>
  <si>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</si>
  <si>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</si>
  <si>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</si>
  <si>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</si>
  <si>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</si>
  <si>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</si>
  <si>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</si>
  <si>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</si>
  <si>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</si>
  <si>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</si>
  <si>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</si>
  <si>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</si>
  <si>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</si>
  <si>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</si>
  <si>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</si>
  <si>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</si>
  <si>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</si>
  <si>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</si>
  <si>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</si>
  <si>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</si>
  <si>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</si>
  <si>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</si>
  <si>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</si>
  <si>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</si>
  <si>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</si>
  <si>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</si>
  <si>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</si>
  <si>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</si>
  <si>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</si>
  <si>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</si>
  <si>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</si>
  <si>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CUST1672</t>
  </si>
  <si>
    <t>CUST1673</t>
  </si>
  <si>
    <t>CUST1674</t>
  </si>
  <si>
    <t>CUST1675</t>
  </si>
  <si>
    <t>CUST1676</t>
  </si>
  <si>
    <t>CUST1677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</si>
  <si>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</si>
  <si>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</si>
  <si>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</si>
  <si>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</si>
  <si>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</si>
  <si>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</si>
  <si>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</si>
  <si>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</si>
  <si>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</si>
  <si>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</si>
  <si>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</si>
  <si>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</si>
  <si>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</si>
  <si>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</si>
  <si>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</si>
  <si>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</si>
  <si>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</si>
  <si>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</si>
  <si>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</si>
  <si>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</si>
  <si>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</si>
  <si>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</si>
  <si>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</si>
  <si>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CUST1701</t>
  </si>
  <si>
    <t>CUST1702</t>
  </si>
  <si>
    <t>CUST1703</t>
  </si>
  <si>
    <t>CUST1704</t>
  </si>
  <si>
    <t>CUST1705</t>
  </si>
  <si>
    <t>CUST1706</t>
  </si>
  <si>
    <t>CUST1707</t>
  </si>
  <si>
    <t>CUST1708</t>
  </si>
  <si>
    <t>CUST1709</t>
  </si>
  <si>
    <t>CUST1710</t>
  </si>
  <si>
    <t>CUST1711</t>
  </si>
  <si>
    <t>CUST1712</t>
  </si>
  <si>
    <t>CUST1713</t>
  </si>
  <si>
    <t>CUST1714</t>
  </si>
  <si>
    <t>CUST1715</t>
  </si>
  <si>
    <t>CUST1716</t>
  </si>
  <si>
    <t>CUST1717</t>
  </si>
  <si>
    <t>CUST1718</t>
  </si>
  <si>
    <t>CUST1719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</si>
  <si>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</si>
  <si>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</si>
  <si>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</si>
  <si>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</si>
  <si>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</si>
  <si>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</si>
  <si>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</si>
  <si>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</si>
  <si>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</si>
  <si>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</si>
  <si>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</si>
  <si>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</si>
  <si>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</si>
  <si>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</si>
  <si>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</si>
  <si>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</si>
  <si>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</si>
  <si>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</si>
  <si>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</si>
  <si>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</si>
  <si>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</si>
  <si>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</si>
  <si>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</si>
  <si>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</si>
  <si>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</si>
  <si>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</si>
  <si>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</si>
  <si>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</si>
  <si>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</si>
  <si>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</si>
  <si>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</si>
  <si>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</si>
  <si>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</si>
  <si>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</si>
  <si>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</si>
  <si>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</si>
  <si>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</si>
  <si>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</si>
  <si>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</si>
  <si>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</si>
  <si>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</si>
  <si>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</si>
  <si>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</si>
  <si>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CUST1763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</si>
  <si>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</si>
  <si>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</si>
  <si>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</si>
  <si>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</si>
  <si>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</si>
  <si>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</si>
  <si>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</si>
  <si>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</si>
  <si>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</si>
  <si>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</si>
  <si>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</si>
  <si>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</si>
  <si>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</si>
  <si>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</si>
  <si>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</si>
  <si>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</si>
  <si>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</si>
  <si>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</si>
  <si>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</si>
  <si>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</si>
  <si>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</si>
  <si>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</si>
  <si>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</si>
  <si>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</si>
  <si>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</si>
  <si>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>CUST1789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</si>
  <si>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</si>
  <si>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</si>
  <si>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</si>
  <si>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</si>
  <si>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</si>
  <si>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</si>
  <si>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</si>
  <si>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</si>
  <si>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</si>
  <si>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</si>
  <si>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</si>
  <si>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</si>
  <si>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</si>
  <si>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</si>
  <si>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</si>
  <si>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</si>
  <si>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</si>
  <si>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</si>
  <si>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</si>
  <si>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</si>
  <si>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</si>
  <si>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</si>
  <si>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</si>
  <si>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</si>
  <si>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</si>
  <si>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</si>
  <si>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</si>
  <si>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</si>
  <si>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</si>
  <si>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</si>
  <si>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</si>
  <si>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</si>
  <si>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</si>
  <si>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</si>
  <si>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</si>
  <si>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</si>
  <si>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</si>
  <si>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</si>
  <si>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CUST1828</t>
  </si>
  <si>
    <t>CUST1829</t>
  </si>
  <si>
    <t>CUST1830</t>
  </si>
  <si>
    <t>CUST1831</t>
  </si>
  <si>
    <t>CUST1832</t>
  </si>
  <si>
    <t>CUST1833</t>
  </si>
  <si>
    <t>CUST1834</t>
  </si>
  <si>
    <t>CUST1835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</si>
  <si>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</si>
  <si>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</si>
  <si>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</si>
  <si>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</si>
  <si>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</si>
  <si>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</si>
  <si>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</si>
  <si>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</si>
  <si>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</si>
  <si>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</si>
  <si>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</si>
  <si>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</si>
  <si>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</si>
  <si>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</si>
  <si>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</si>
  <si>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</si>
  <si>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</si>
  <si>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</si>
  <si>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</si>
  <si>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</si>
  <si>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</si>
  <si>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</si>
  <si>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</si>
  <si>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</si>
  <si>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</si>
  <si>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</si>
  <si>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</si>
  <si>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</si>
  <si>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</si>
  <si>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</si>
  <si>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</si>
  <si>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</si>
  <si>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</si>
  <si>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</si>
  <si>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</si>
  <si>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</si>
  <si>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</si>
  <si>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</si>
  <si>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CUST1874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</si>
  <si>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</si>
  <si>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</si>
  <si>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</si>
  <si>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</si>
  <si>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</si>
  <si>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</si>
  <si>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</si>
  <si>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</si>
  <si>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</si>
  <si>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</si>
  <si>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</si>
  <si>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</si>
  <si>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>CUST1887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</si>
  <si>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</si>
  <si>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</si>
  <si>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</si>
  <si>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</si>
  <si>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</si>
  <si>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</si>
  <si>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</si>
  <si>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</si>
  <si>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</si>
  <si>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</si>
  <si>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</si>
  <si>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</si>
  <si>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Male</t>
  </si>
  <si>
    <t>Female</t>
  </si>
  <si>
    <t>Other</t>
  </si>
  <si>
    <t>Kolkata</t>
  </si>
  <si>
    <t>Delhi</t>
  </si>
  <si>
    <t>Pune</t>
  </si>
  <si>
    <t>Bangalore</t>
  </si>
  <si>
    <t>Hyderabad</t>
  </si>
  <si>
    <t>Mumbai</t>
  </si>
  <si>
    <t>Annual</t>
  </si>
  <si>
    <t>Monthly</t>
  </si>
  <si>
    <t>Quarterly</t>
  </si>
  <si>
    <t>UPI</t>
  </si>
  <si>
    <t>PayPal</t>
  </si>
  <si>
    <t>Card</t>
  </si>
  <si>
    <t>Churn Status</t>
  </si>
  <si>
    <t xml:space="preserve">Subscription Duration </t>
  </si>
  <si>
    <t>Engagement Group</t>
  </si>
  <si>
    <t>Age Group</t>
  </si>
  <si>
    <t>Row Labels</t>
  </si>
  <si>
    <t>Active</t>
  </si>
  <si>
    <t>Churned</t>
  </si>
  <si>
    <t>Grand Total</t>
  </si>
  <si>
    <t>Count of CustomerID</t>
  </si>
  <si>
    <t>Column Labels</t>
  </si>
  <si>
    <t>Subscription Type</t>
  </si>
  <si>
    <t>High</t>
  </si>
  <si>
    <t>Low</t>
  </si>
  <si>
    <t>Medium</t>
  </si>
  <si>
    <t>18-24</t>
  </si>
  <si>
    <t>25-34</t>
  </si>
  <si>
    <t>35-44</t>
  </si>
  <si>
    <t>45+</t>
  </si>
  <si>
    <t xml:space="preserve">Average of Subscription Duration </t>
  </si>
  <si>
    <t>Average of TotalSpent</t>
  </si>
  <si>
    <t>Sum of TotalSpent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</si>
</sst>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2 data.xlsx]Churn rate by customer segment!PivotTable3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499999999999992"/>
              <c:y val="8.101851851851850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987510936132984"/>
                  <c:h val="0.1434492563429571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3888888888888926E-2"/>
              <c:y val="-3.240740740740740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209733158355205E-2"/>
                  <c:h val="0.16659740449110527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'Churn rate by customer segment'!$B$3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26E-4EB6-856D-67CB21580E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6E-4EB6-856D-67CB21580E2A}"/>
              </c:ext>
            </c:extLst>
          </c:dPt>
          <c:dLbls>
            <c:dLbl>
              <c:idx val="0"/>
              <c:layout>
                <c:manualLayout>
                  <c:x val="0.12499999999999992"/>
                  <c:y val="8.101851851851850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87510936132984"/>
                      <c:h val="0.14344925634295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26E-4EB6-856D-67CB21580E2A}"/>
                </c:ext>
              </c:extLst>
            </c:dLbl>
            <c:dLbl>
              <c:idx val="1"/>
              <c:layout>
                <c:manualLayout>
                  <c:x val="-6.3888888888888926E-2"/>
                  <c:y val="-3.24074074074074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09733158355205E-2"/>
                      <c:h val="0.1665974044911052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26E-4EB6-856D-67CB21580E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rate by customer segment'!$A$4:$A$6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'Churn rate by customer segment'!$B$4:$B$6</c:f>
              <c:numCache>
                <c:formatCode>General</c:formatCode>
                <c:ptCount val="2"/>
                <c:pt idx="0">
                  <c:v>551</c:v>
                </c:pt>
                <c:pt idx="1">
                  <c:v>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6E-4EB6-856D-67CB21580E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2 data.xlsx]Subscription Type vs Churn!PivotTable4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Subscription Type vs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'Subscription Type vs Churn'!$B$3:$B$4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'Subscription Type vs Churn'!$A$5:$A$8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'Subscription Type vs Churn'!$B$5:$B$8</c:f>
              <c:numCache>
                <c:formatCode>0.00%</c:formatCode>
                <c:ptCount val="3"/>
                <c:pt idx="0">
                  <c:v>0.60447761194029848</c:v>
                </c:pt>
                <c:pt idx="1">
                  <c:v>0.60041841004184104</c:v>
                </c:pt>
                <c:pt idx="2">
                  <c:v>0.63541666666666663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4-4EE7-B7BC-9C4B83679C97}"/>
            </c:ext>
          </c:extLst>
        </c:ser>
        <c:ser>
          <c:idx val="1"/>
          <c:order val="1"/>
          <c:tx>
            <c:strRef>
              <c:f>'Subscription Type vs Churn'!$C$3:$C$4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'Subscription Type vs Churn'!$A$5:$A$8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'Subscription Type vs Churn'!$C$5:$C$8</c:f>
              <c:numCache>
                <c:formatCode>0.00%</c:formatCode>
                <c:ptCount val="3"/>
                <c:pt idx="0">
                  <c:v>0.39552238805970147</c:v>
                </c:pt>
                <c:pt idx="1">
                  <c:v>0.39958158995815901</c:v>
                </c:pt>
                <c:pt idx="2">
                  <c:v>0.36458333333333331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4-4EE7-B7BC-9C4B83679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0301440"/>
        <c:axId val="1320297600"/>
      </c:barChart>
      <c:catAx>
        <c:axId val="132030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97600"/>
        <c:crosses val="autoZero"/>
        <c:auto val="1"/>
        <c:lblAlgn val="ctr"/>
        <c:lblOffset val="100"/>
        <c:noMultiLvlLbl val="0"/>
      </c:catAx>
      <c:valAx>
        <c:axId val="132029760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30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2 data.xlsx]Engagement vs Churn!PivotTable5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Engagement vs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'Engagement vs Churn'!$B$3:$B$4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'Engagement vs Churn'!$A$5:$A$8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'Engagement vs Churn'!$B$5:$B$8</c:f>
              <c:numCache>
                <c:formatCode>0.00%</c:formatCode>
                <c:ptCount val="3"/>
                <c:pt idx="0">
                  <c:v>0.8657407407407407</c:v>
                </c:pt>
                <c:pt idx="1">
                  <c:v>0.42818428184281843</c:v>
                </c:pt>
                <c:pt idx="2">
                  <c:v>0.65396825396825398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C-455E-BDD5-0E38BEE061B4}"/>
            </c:ext>
          </c:extLst>
        </c:ser>
        <c:ser>
          <c:idx val="1"/>
          <c:order val="1"/>
          <c:tx>
            <c:strRef>
              <c:f>'Engagement vs Churn'!$C$3:$C$4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'Engagement vs Churn'!$A$5:$A$8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'Engagement vs Churn'!$C$5:$C$8</c:f>
              <c:numCache>
                <c:formatCode>0.00%</c:formatCode>
                <c:ptCount val="3"/>
                <c:pt idx="0">
                  <c:v>0.13425925925925927</c:v>
                </c:pt>
                <c:pt idx="1">
                  <c:v>0.57181571815718157</c:v>
                </c:pt>
                <c:pt idx="2">
                  <c:v>0.34603174603174602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EC-455E-BDD5-0E38BEE06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0289440"/>
        <c:axId val="1320288000"/>
      </c:barChart>
      <c:catAx>
        <c:axId val="132028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88000"/>
        <c:crosses val="autoZero"/>
        <c:auto val="1"/>
        <c:lblAlgn val="ctr"/>
        <c:lblOffset val="100"/>
        <c:noMultiLvlLbl val="0"/>
      </c:catAx>
      <c:valAx>
        <c:axId val="132028800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89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2 data.xlsx]Age Group vs churn!PivotTable6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</a:t>
            </a:r>
            <a:r>
              <a:rPr lang="en-IN" baseline="0"/>
              <a:t> Group Vs Churn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Group vs churn'!$B$3:$B$4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 vs churn'!$A$5:$A$9</c:f>
              <c:strCache>
                <c:ptCount val="4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45+</c:v>
                </c:pt>
              </c:strCache>
            </c:strRef>
          </c:cat>
          <c:val>
            <c:numRef>
              <c:f>'Age Group vs churn'!$B$5:$B$9</c:f>
              <c:numCache>
                <c:formatCode>0.00%</c:formatCode>
                <c:ptCount val="4"/>
                <c:pt idx="0">
                  <c:v>0.60869565217391308</c:v>
                </c:pt>
                <c:pt idx="1">
                  <c:v>0.58851674641148322</c:v>
                </c:pt>
                <c:pt idx="2">
                  <c:v>0.65044247787610621</c:v>
                </c:pt>
                <c:pt idx="3">
                  <c:v>0.60197368421052633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C-4976-8CFE-2C7E675F9AA3}"/>
            </c:ext>
          </c:extLst>
        </c:ser>
        <c:ser>
          <c:idx val="1"/>
          <c:order val="1"/>
          <c:tx>
            <c:strRef>
              <c:f>'Age Group vs churn'!$C$3:$C$4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Group vs churn'!$A$5:$A$9</c:f>
              <c:strCache>
                <c:ptCount val="4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45+</c:v>
                </c:pt>
              </c:strCache>
            </c:strRef>
          </c:cat>
          <c:val>
            <c:numRef>
              <c:f>'Age Group vs churn'!$C$5:$C$9</c:f>
              <c:numCache>
                <c:formatCode>0.00%</c:formatCode>
                <c:ptCount val="4"/>
                <c:pt idx="0">
                  <c:v>0.39130434782608697</c:v>
                </c:pt>
                <c:pt idx="1">
                  <c:v>0.41148325358851673</c:v>
                </c:pt>
                <c:pt idx="2">
                  <c:v>0.34955752212389379</c:v>
                </c:pt>
                <c:pt idx="3">
                  <c:v>0.39802631578947367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6C-4976-8CFE-2C7E675F9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0292320"/>
        <c:axId val="1320308160"/>
      </c:barChart>
      <c:catAx>
        <c:axId val="132029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308160"/>
        <c:crosses val="autoZero"/>
        <c:auto val="1"/>
        <c:lblAlgn val="ctr"/>
        <c:lblOffset val="100"/>
        <c:noMultiLvlLbl val="0"/>
      </c:catAx>
      <c:valAx>
        <c:axId val="132030816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9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2 data.xlsx]Subscription Average Months!PivotTable7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</a:t>
            </a:r>
            <a:r>
              <a:rPr lang="en-US" baseline="0"/>
              <a:t> Average months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'Subscription Average Months'!$B$3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'Subscription Average Months'!$A$4:$A$6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'Subscription Average Months'!$B$4:$B$6</c:f>
              <c:numCache>
                <c:formatCode>0.00</c:formatCode>
                <c:ptCount val="2"/>
                <c:pt idx="0">
                  <c:v>35.041742286751358</c:v>
                </c:pt>
                <c:pt idx="1">
                  <c:v>6.2521489971346709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8-4413-80EA-B27BD3F25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4715264"/>
        <c:axId val="1444714304"/>
      </c:barChart>
      <c:catAx>
        <c:axId val="144471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714304"/>
        <c:crosses val="autoZero"/>
        <c:auto val="1"/>
        <c:lblAlgn val="ctr"/>
        <c:lblOffset val="100"/>
        <c:noMultiLvlLbl val="0"/>
      </c:catAx>
      <c:valAx>
        <c:axId val="144471430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71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2 data.xlsx]Average revenue by customer!PivotTable8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revenue by customer'!$B$3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revenue by customer'!$A$4:$A$6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'Average revenue by customer'!$B$4:$B$6</c:f>
              <c:numCache>
                <c:formatCode>0.00</c:formatCode>
                <c:ptCount val="2"/>
                <c:pt idx="0">
                  <c:v>12621.642123411973</c:v>
                </c:pt>
                <c:pt idx="1">
                  <c:v>8043.7290830945549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C8-4718-86DF-2B77024D2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0278880"/>
        <c:axId val="1320279840"/>
      </c:barChart>
      <c:catAx>
        <c:axId val="132027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79840"/>
        <c:crosses val="autoZero"/>
        <c:auto val="1"/>
        <c:lblAlgn val="ctr"/>
        <c:lblOffset val="100"/>
        <c:noMultiLvlLbl val="0"/>
      </c:catAx>
      <c:valAx>
        <c:axId val="132027984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27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 Study 2 data.xlsx]Sheet7!PivotTable9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Sheet7!$B$3:$B$4</c:f>
              <c:strCache>
                <c:ptCount val="1"/>
                <c:pt idx="0">
                  <c:v>Annual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Sheet7!$B$5:$B$8</c:f>
              <c:numCache>
                <c:formatCode>General</c:formatCode>
                <c:ptCount val="3"/>
                <c:pt idx="0">
                  <c:v>7</c:v>
                </c:pt>
                <c:pt idx="1">
                  <c:v>33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0-474C-B764-586E6BB32723}"/>
            </c:ext>
          </c:extLst>
        </c:ser>
        <c:ser>
          <c:idx val="1"/>
          <c:order val="1"/>
          <c:tx>
            <c:strRef>
              <c:f>Sheet7!$C$3:$C$4</c:f>
              <c:strCache>
                <c:ptCount val="1"/>
                <c:pt idx="0">
                  <c:v>Monthly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Sheet7!$C$5:$C$8</c:f>
              <c:numCache>
                <c:formatCode>General</c:formatCode>
                <c:ptCount val="3"/>
                <c:pt idx="0">
                  <c:v>14</c:v>
                </c:pt>
                <c:pt idx="1">
                  <c:v>115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0-474C-B764-586E6BB32723}"/>
            </c:ext>
          </c:extLst>
        </c:ser>
        <c:ser>
          <c:idx val="2"/>
          <c:order val="2"/>
          <c:tx>
            <c:strRef>
              <c:f>Sheet7!$D$3:$D$4</c:f>
              <c:strCache>
                <c:ptCount val="1"/>
                <c:pt idx="0">
                  <c:v>Quarterly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Sheet7!$D$5:$D$8</c:f>
              <c:numCache>
                <c:formatCode>General</c:formatCode>
                <c:ptCount val="3"/>
                <c:pt idx="0">
                  <c:v>8</c:v>
                </c:pt>
                <c:pt idx="1">
                  <c:v>63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0-474C-B764-586E6BB32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0315360"/>
        <c:axId val="1320310560"/>
      </c:barChart>
      <c:catAx>
        <c:axId val="132031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310560"/>
        <c:crosses val="autoZero"/>
        <c:auto val="1"/>
        <c:lblAlgn val="ctr"/>
        <c:lblOffset val="100"/>
        <c:noMultiLvlLbl val="0"/>
      </c:catAx>
      <c:valAx>
        <c:axId val="132031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31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61912</xdr:rowOff>
    </xdr:from>
    <xdr:to>
      <xdr:col>10</xdr:col>
      <xdr:colOff>590550</xdr:colOff>
      <xdr:row>15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967A5E-A279-4167-00B3-C488DC330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6</xdr:row>
      <xdr:rowOff>85725</xdr:rowOff>
    </xdr:from>
    <xdr:to>
      <xdr:col>17</xdr:col>
      <xdr:colOff>76200</xdr:colOff>
      <xdr:row>30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7C286-4A7A-86C9-1088-F05124BF4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4</xdr:row>
      <xdr:rowOff>123825</xdr:rowOff>
    </xdr:from>
    <xdr:to>
      <xdr:col>15</xdr:col>
      <xdr:colOff>285750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5D3D4F-579A-6261-4CF3-FD09AF626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11</xdr:row>
      <xdr:rowOff>52387</xdr:rowOff>
    </xdr:from>
    <xdr:to>
      <xdr:col>15</xdr:col>
      <xdr:colOff>552450</xdr:colOff>
      <xdr:row>31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3194F9-532F-1937-3D31-1615C31BC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11</xdr:row>
      <xdr:rowOff>52387</xdr:rowOff>
    </xdr:from>
    <xdr:to>
      <xdr:col>12</xdr:col>
      <xdr:colOff>476250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0FD726-362C-F8DE-4F95-59A986FCD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257174</xdr:colOff>
      <xdr:row>11</xdr:row>
      <xdr:rowOff>52387</xdr:rowOff>
    </xdr:from>
    <xdr:to>
      <xdr:col>15</xdr:col>
      <xdr:colOff>266699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2D1D4-4CDE-4403-F233-95D09CB89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11</xdr:row>
      <xdr:rowOff>52387</xdr:rowOff>
    </xdr:from>
    <xdr:to>
      <xdr:col>12</xdr:col>
      <xdr:colOff>142875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854E8E-0AA1-6D9E-4B15-55BF220F3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8.866429282411" createdVersion="8" refreshedVersion="8" minRefreshableVersion="3" recordCount="900" xr:uid="{58A8657C-19E9-491D-8C43-69B5715550FA}">
  <cacheSource type="worksheet">
    <worksheetSource name="Table1"/>
  </cacheSource>
  <cacheFields count="15">
    <cacheField name="CustomerID" numFmtId="0">
      <sharedItems/>
    </cacheField>
    <cacheField name="JoinDate" numFmtId="14">
      <sharedItems containsSemiMixedTypes="0" containsNonDate="0" containsDate="1" containsString="0" minDate="2022-01-01T00:00:00" maxDate="2024-06-17T00:00:00"/>
    </cacheField>
    <cacheField name="CancelDate" numFmtId="0">
      <sharedItems containsNonDate="0" containsDate="1" containsString="0" containsBlank="1" minDate="2022-02-20T00:00:00" maxDate="2025-06-07T00:00:00"/>
    </cacheField>
    <cacheField name="Age" numFmtId="0">
      <sharedItems containsSemiMixedTypes="0" containsString="0" containsNumber="1" containsInteger="1" minValue="18" maxValue="59"/>
    </cacheField>
    <cacheField name="Gender" numFmtId="0">
      <sharedItems/>
    </cacheField>
    <cacheField name="Location" numFmtId="0">
      <sharedItems/>
    </cacheField>
    <cacheField name="SubscriptionType" numFmtId="0">
      <sharedItems count="3">
        <s v="Annual"/>
        <s v="Monthly"/>
        <s v="Quarterly"/>
      </sharedItems>
    </cacheField>
    <cacheField name="TotalSpent" numFmtId="0">
      <sharedItems containsSemiMixedTypes="0" containsString="0" containsNumber="1" minValue="2045.1" maxValue="29965.01"/>
    </cacheField>
    <cacheField name="BoxesReceived" numFmtId="0">
      <sharedItems containsSemiMixedTypes="0" containsString="0" containsNumber="1" containsInteger="1" minValue="1" maxValue="29"/>
    </cacheField>
    <cacheField name="EngagementScore" numFmtId="0">
      <sharedItems containsSemiMixedTypes="0" containsString="0" containsNumber="1" containsInteger="1" minValue="10" maxValue="99"/>
    </cacheField>
    <cacheField name="PaymentMode" numFmtId="0">
      <sharedItems/>
    </cacheField>
    <cacheField name="Churn Status" numFmtId="0">
      <sharedItems count="2">
        <s v="Active"/>
        <s v="Churned"/>
      </sharedItems>
    </cacheField>
    <cacheField name="Subscription Duration " numFmtId="0">
      <sharedItems containsSemiMixedTypes="0" containsString="0" containsNumber="1" containsInteger="1" minValue="1" maxValue="50"/>
    </cacheField>
    <cacheField name="Engagement Group" numFmtId="0">
      <sharedItems count="3">
        <s v="Low"/>
        <s v="Medium"/>
        <s v="High"/>
      </sharedItems>
    </cacheField>
    <cacheField name="Age Group" numFmtId="0">
      <sharedItems count="4">
        <s v="18-24"/>
        <s v="45+"/>
        <s v="35-44"/>
        <s v="25-3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s v="CUST1000"/>
    <d v="2022-06-25T00:00:00"/>
    <m/>
    <n v="23"/>
    <s v="Male"/>
    <s v="Kolkata"/>
    <x v="0"/>
    <n v="5460.96"/>
    <n v="5"/>
    <n v="19"/>
    <s v="UPI"/>
    <x v="0"/>
    <n v="44"/>
    <x v="0"/>
    <x v="0"/>
  </r>
  <r>
    <s v="CUST1001"/>
    <d v="2022-07-16T00:00:00"/>
    <m/>
    <n v="57"/>
    <s v="Male"/>
    <s v="Delhi"/>
    <x v="1"/>
    <n v="10078.209999999999"/>
    <n v="6"/>
    <n v="40"/>
    <s v="PayPal"/>
    <x v="0"/>
    <n v="44"/>
    <x v="0"/>
    <x v="1"/>
  </r>
  <r>
    <s v="CUST1002"/>
    <d v="2023-06-22T00:00:00"/>
    <d v="2023-08-03T00:00:00"/>
    <n v="38"/>
    <s v="Female"/>
    <s v="Pune"/>
    <x v="1"/>
    <n v="10160.16"/>
    <n v="10"/>
    <n v="53"/>
    <s v="UPI"/>
    <x v="1"/>
    <n v="1"/>
    <x v="1"/>
    <x v="2"/>
  </r>
  <r>
    <s v="CUST1003"/>
    <d v="2023-05-18T00:00:00"/>
    <m/>
    <n v="20"/>
    <s v="Male"/>
    <s v="Delhi"/>
    <x v="1"/>
    <n v="23248.74"/>
    <n v="28"/>
    <n v="85"/>
    <s v="Other"/>
    <x v="0"/>
    <n v="33"/>
    <x v="2"/>
    <x v="0"/>
  </r>
  <r>
    <s v="CUST1004"/>
    <d v="2023-08-03T00:00:00"/>
    <d v="2024-02-24T00:00:00"/>
    <n v="40"/>
    <s v="Female"/>
    <s v="Bangalore"/>
    <x v="1"/>
    <n v="5666.81"/>
    <n v="6"/>
    <n v="35"/>
    <s v="Card"/>
    <x v="1"/>
    <n v="6"/>
    <x v="0"/>
    <x v="2"/>
  </r>
  <r>
    <s v="CUST1005"/>
    <d v="2022-07-31T00:00:00"/>
    <m/>
    <n v="22"/>
    <s v="Male"/>
    <s v="Kolkata"/>
    <x v="1"/>
    <n v="2185.5"/>
    <n v="4"/>
    <n v="17"/>
    <s v="UPI"/>
    <x v="0"/>
    <n v="43"/>
    <x v="0"/>
    <x v="0"/>
  </r>
  <r>
    <s v="CUST1006"/>
    <d v="2023-09-08T00:00:00"/>
    <m/>
    <n v="51"/>
    <s v="Male"/>
    <s v="Bangalore"/>
    <x v="2"/>
    <n v="12421.66"/>
    <n v="11"/>
    <n v="48"/>
    <s v="Card"/>
    <x v="0"/>
    <n v="30"/>
    <x v="1"/>
    <x v="1"/>
  </r>
  <r>
    <s v="CUST1007"/>
    <d v="2022-12-15T00:00:00"/>
    <d v="2023-11-16T00:00:00"/>
    <n v="57"/>
    <s v="Male"/>
    <s v="Hyderabad"/>
    <x v="1"/>
    <n v="5694.09"/>
    <n v="1"/>
    <n v="18"/>
    <s v="UPI"/>
    <x v="1"/>
    <n v="11"/>
    <x v="0"/>
    <x v="1"/>
  </r>
  <r>
    <s v="CUST1008"/>
    <d v="2022-07-05T00:00:00"/>
    <m/>
    <n v="50"/>
    <s v="Male"/>
    <s v="Mumbai"/>
    <x v="2"/>
    <n v="29680.81"/>
    <n v="16"/>
    <n v="84"/>
    <s v="UPI"/>
    <x v="0"/>
    <n v="44"/>
    <x v="2"/>
    <x v="1"/>
  </r>
  <r>
    <s v="CUST1009"/>
    <d v="2023-02-03T00:00:00"/>
    <d v="2024-01-06T00:00:00"/>
    <n v="42"/>
    <s v="Male"/>
    <s v="Bangalore"/>
    <x v="0"/>
    <n v="3240.15"/>
    <n v="6"/>
    <n v="25"/>
    <s v="Card"/>
    <x v="1"/>
    <n v="11"/>
    <x v="0"/>
    <x v="2"/>
  </r>
  <r>
    <s v="CUST1010"/>
    <d v="2023-06-20T00:00:00"/>
    <m/>
    <n v="28"/>
    <s v="Male"/>
    <s v="Bangalore"/>
    <x v="2"/>
    <n v="3558.11"/>
    <n v="7"/>
    <n v="39"/>
    <s v="PayPal"/>
    <x v="0"/>
    <n v="32"/>
    <x v="0"/>
    <x v="3"/>
  </r>
  <r>
    <s v="CUST1011"/>
    <d v="2023-08-08T00:00:00"/>
    <d v="2024-04-26T00:00:00"/>
    <n v="34"/>
    <s v="Male"/>
    <s v="Mumbai"/>
    <x v="2"/>
    <n v="4601.12"/>
    <n v="5"/>
    <n v="34"/>
    <s v="PayPal"/>
    <x v="1"/>
    <n v="8"/>
    <x v="0"/>
    <x v="3"/>
  </r>
  <r>
    <s v="CUST1012"/>
    <d v="2022-12-12T00:00:00"/>
    <d v="2023-08-29T00:00:00"/>
    <n v="59"/>
    <s v="Male"/>
    <s v="Bangalore"/>
    <x v="1"/>
    <n v="12206.56"/>
    <n v="16"/>
    <n v="77"/>
    <s v="Card"/>
    <x v="1"/>
    <n v="8"/>
    <x v="2"/>
    <x v="1"/>
  </r>
  <r>
    <s v="CUST1013"/>
    <d v="2023-01-02T00:00:00"/>
    <d v="2023-07-26T00:00:00"/>
    <n v="50"/>
    <s v="Female"/>
    <s v="Bangalore"/>
    <x v="0"/>
    <n v="5571.75"/>
    <n v="6"/>
    <n v="39"/>
    <s v="UPI"/>
    <x v="1"/>
    <n v="6"/>
    <x v="0"/>
    <x v="1"/>
  </r>
  <r>
    <s v="CUST1014"/>
    <d v="2023-07-09T00:00:00"/>
    <m/>
    <n v="37"/>
    <s v="Male"/>
    <s v="Delhi"/>
    <x v="1"/>
    <n v="11448.21"/>
    <n v="7"/>
    <n v="54"/>
    <s v="Card"/>
    <x v="0"/>
    <n v="32"/>
    <x v="1"/>
    <x v="2"/>
  </r>
  <r>
    <s v="CUST1015"/>
    <d v="2024-01-01T00:00:00"/>
    <m/>
    <n v="36"/>
    <s v="Male"/>
    <s v="Delhi"/>
    <x v="2"/>
    <n v="26858.41"/>
    <n v="18"/>
    <n v="98"/>
    <s v="Card"/>
    <x v="0"/>
    <n v="26"/>
    <x v="2"/>
    <x v="2"/>
  </r>
  <r>
    <s v="CUST1016"/>
    <d v="2022-06-17T00:00:00"/>
    <m/>
    <n v="36"/>
    <s v="Male"/>
    <s v="Hyderabad"/>
    <x v="2"/>
    <n v="26389.29"/>
    <n v="13"/>
    <n v="81"/>
    <s v="UPI"/>
    <x v="0"/>
    <n v="45"/>
    <x v="2"/>
    <x v="2"/>
  </r>
  <r>
    <s v="CUST1017"/>
    <d v="2022-03-10T00:00:00"/>
    <m/>
    <n v="18"/>
    <s v="Female"/>
    <s v="Pune"/>
    <x v="1"/>
    <n v="4438.7"/>
    <n v="7"/>
    <n v="33"/>
    <s v="Card"/>
    <x v="0"/>
    <n v="48"/>
    <x v="0"/>
    <x v="0"/>
  </r>
  <r>
    <s v="CUST1018"/>
    <d v="2023-03-09T00:00:00"/>
    <d v="2023-12-27T00:00:00"/>
    <n v="30"/>
    <s v="Male"/>
    <s v="Hyderabad"/>
    <x v="1"/>
    <n v="3225.95"/>
    <n v="7"/>
    <n v="32"/>
    <s v="Other"/>
    <x v="1"/>
    <n v="9"/>
    <x v="0"/>
    <x v="3"/>
  </r>
  <r>
    <s v="CUST1019"/>
    <d v="2024-06-14T00:00:00"/>
    <m/>
    <n v="39"/>
    <s v="Male"/>
    <s v="Bangalore"/>
    <x v="1"/>
    <n v="24727.37"/>
    <n v="20"/>
    <n v="84"/>
    <s v="Card"/>
    <x v="0"/>
    <n v="21"/>
    <x v="2"/>
    <x v="2"/>
  </r>
  <r>
    <s v="CUST1020"/>
    <d v="2023-01-27T00:00:00"/>
    <m/>
    <n v="34"/>
    <s v="Female"/>
    <s v="Kolkata"/>
    <x v="1"/>
    <n v="12364.39"/>
    <n v="14"/>
    <n v="47"/>
    <s v="UPI"/>
    <x v="0"/>
    <n v="37"/>
    <x v="1"/>
    <x v="3"/>
  </r>
  <r>
    <s v="CUST1021"/>
    <d v="2023-05-28T00:00:00"/>
    <m/>
    <n v="45"/>
    <s v="Male"/>
    <s v="Delhi"/>
    <x v="1"/>
    <n v="16302.56"/>
    <n v="23"/>
    <n v="76"/>
    <s v="Card"/>
    <x v="0"/>
    <n v="33"/>
    <x v="2"/>
    <x v="1"/>
  </r>
  <r>
    <s v="CUST1022"/>
    <d v="2022-03-17T00:00:00"/>
    <d v="2022-04-21T00:00:00"/>
    <n v="36"/>
    <s v="Female"/>
    <s v="Hyderabad"/>
    <x v="1"/>
    <n v="7852.15"/>
    <n v="2"/>
    <n v="12"/>
    <s v="Card"/>
    <x v="1"/>
    <n v="1"/>
    <x v="0"/>
    <x v="2"/>
  </r>
  <r>
    <s v="CUST1023"/>
    <d v="2024-04-03T00:00:00"/>
    <d v="2024-12-16T00:00:00"/>
    <n v="33"/>
    <s v="Female"/>
    <s v="Mumbai"/>
    <x v="1"/>
    <n v="2636.28"/>
    <n v="7"/>
    <n v="35"/>
    <s v="PayPal"/>
    <x v="1"/>
    <n v="8"/>
    <x v="0"/>
    <x v="3"/>
  </r>
  <r>
    <s v="CUST1024"/>
    <d v="2022-09-08T00:00:00"/>
    <m/>
    <n v="46"/>
    <s v="Male"/>
    <s v="Delhi"/>
    <x v="1"/>
    <n v="21305.79"/>
    <n v="21"/>
    <n v="75"/>
    <s v="Card"/>
    <x v="0"/>
    <n v="42"/>
    <x v="2"/>
    <x v="1"/>
  </r>
  <r>
    <s v="CUST1025"/>
    <d v="2022-01-07T00:00:00"/>
    <m/>
    <n v="37"/>
    <s v="Male"/>
    <s v="Bangalore"/>
    <x v="0"/>
    <n v="8887.2099999999991"/>
    <n v="11"/>
    <n v="67"/>
    <s v="PayPal"/>
    <x v="0"/>
    <n v="50"/>
    <x v="1"/>
    <x v="2"/>
  </r>
  <r>
    <s v="CUST1026"/>
    <d v="2024-02-27T00:00:00"/>
    <d v="2024-07-17T00:00:00"/>
    <n v="28"/>
    <s v="Female"/>
    <s v="Mumbai"/>
    <x v="1"/>
    <n v="4464.87"/>
    <n v="2"/>
    <n v="15"/>
    <s v="PayPal"/>
    <x v="1"/>
    <n v="4"/>
    <x v="0"/>
    <x v="3"/>
  </r>
  <r>
    <s v="CUST1027"/>
    <d v="2023-03-21T00:00:00"/>
    <d v="2023-09-21T00:00:00"/>
    <n v="43"/>
    <s v="Female"/>
    <s v="Delhi"/>
    <x v="2"/>
    <n v="6646.21"/>
    <n v="6"/>
    <n v="48"/>
    <s v="Card"/>
    <x v="1"/>
    <n v="6"/>
    <x v="1"/>
    <x v="2"/>
  </r>
  <r>
    <s v="CUST1028"/>
    <d v="2022-02-14T00:00:00"/>
    <d v="2022-11-13T00:00:00"/>
    <n v="18"/>
    <s v="Female"/>
    <s v="Hyderabad"/>
    <x v="1"/>
    <n v="25655.63"/>
    <n v="20"/>
    <n v="86"/>
    <s v="Card"/>
    <x v="1"/>
    <n v="8"/>
    <x v="2"/>
    <x v="0"/>
  </r>
  <r>
    <s v="CUST1029"/>
    <d v="2023-12-05T00:00:00"/>
    <d v="2024-10-01T00:00:00"/>
    <n v="42"/>
    <s v="Male"/>
    <s v="Bangalore"/>
    <x v="1"/>
    <n v="6748.87"/>
    <n v="3"/>
    <n v="31"/>
    <s v="PayPal"/>
    <x v="1"/>
    <n v="9"/>
    <x v="0"/>
    <x v="2"/>
  </r>
  <r>
    <s v="CUST1030"/>
    <d v="2022-11-22T00:00:00"/>
    <m/>
    <n v="50"/>
    <s v="Male"/>
    <s v="Kolkata"/>
    <x v="0"/>
    <n v="19452.310000000001"/>
    <n v="29"/>
    <n v="76"/>
    <s v="PayPal"/>
    <x v="0"/>
    <n v="39"/>
    <x v="2"/>
    <x v="1"/>
  </r>
  <r>
    <s v="CUST1031"/>
    <d v="2024-04-04T00:00:00"/>
    <m/>
    <n v="57"/>
    <s v="Female"/>
    <s v="Mumbai"/>
    <x v="2"/>
    <n v="14284.46"/>
    <n v="5"/>
    <n v="55"/>
    <s v="Card"/>
    <x v="0"/>
    <n v="23"/>
    <x v="1"/>
    <x v="1"/>
  </r>
  <r>
    <s v="CUST1032"/>
    <d v="2022-06-02T00:00:00"/>
    <m/>
    <n v="32"/>
    <s v="Female"/>
    <s v="Hyderabad"/>
    <x v="1"/>
    <n v="5339.73"/>
    <n v="4"/>
    <n v="19"/>
    <s v="Card"/>
    <x v="0"/>
    <n v="45"/>
    <x v="0"/>
    <x v="3"/>
  </r>
  <r>
    <s v="CUST1033"/>
    <d v="2022-07-03T00:00:00"/>
    <d v="2023-02-21T00:00:00"/>
    <n v="55"/>
    <s v="Female"/>
    <s v="Bangalore"/>
    <x v="0"/>
    <n v="29785.91"/>
    <n v="23"/>
    <n v="83"/>
    <s v="PayPal"/>
    <x v="1"/>
    <n v="7"/>
    <x v="2"/>
    <x v="1"/>
  </r>
  <r>
    <s v="CUST1034"/>
    <d v="2022-04-23T00:00:00"/>
    <d v="2023-01-04T00:00:00"/>
    <n v="57"/>
    <s v="Female"/>
    <s v="Hyderabad"/>
    <x v="1"/>
    <n v="3069.18"/>
    <n v="7"/>
    <n v="30"/>
    <s v="UPI"/>
    <x v="1"/>
    <n v="8"/>
    <x v="0"/>
    <x v="1"/>
  </r>
  <r>
    <s v="CUST1035"/>
    <d v="2024-02-03T00:00:00"/>
    <m/>
    <n v="32"/>
    <s v="Male"/>
    <s v="Mumbai"/>
    <x v="2"/>
    <n v="9046.8700000000008"/>
    <n v="13"/>
    <n v="57"/>
    <s v="Card"/>
    <x v="0"/>
    <n v="25"/>
    <x v="1"/>
    <x v="3"/>
  </r>
  <r>
    <s v="CUST1036"/>
    <d v="2022-07-09T00:00:00"/>
    <d v="2023-05-27T00:00:00"/>
    <n v="45"/>
    <s v="Male"/>
    <s v="Kolkata"/>
    <x v="2"/>
    <n v="6807.94"/>
    <n v="4"/>
    <n v="24"/>
    <s v="Card"/>
    <x v="1"/>
    <n v="10"/>
    <x v="0"/>
    <x v="1"/>
  </r>
  <r>
    <s v="CUST1037"/>
    <d v="2022-10-18T00:00:00"/>
    <m/>
    <n v="20"/>
    <s v="Female"/>
    <s v="Mumbai"/>
    <x v="2"/>
    <n v="10894.74"/>
    <n v="14"/>
    <n v="54"/>
    <s v="UPI"/>
    <x v="0"/>
    <n v="40"/>
    <x v="1"/>
    <x v="0"/>
  </r>
  <r>
    <s v="CUST1038"/>
    <d v="2022-11-09T00:00:00"/>
    <d v="2023-10-05T00:00:00"/>
    <n v="35"/>
    <s v="Female"/>
    <s v="Mumbai"/>
    <x v="2"/>
    <n v="5181.8100000000004"/>
    <n v="5"/>
    <n v="36"/>
    <s v="PayPal"/>
    <x v="1"/>
    <n v="10"/>
    <x v="0"/>
    <x v="2"/>
  </r>
  <r>
    <s v="CUST1039"/>
    <d v="2022-07-21T00:00:00"/>
    <m/>
    <n v="19"/>
    <s v="Male"/>
    <s v="Bangalore"/>
    <x v="2"/>
    <n v="3690.21"/>
    <n v="6"/>
    <n v="25"/>
    <s v="Card"/>
    <x v="0"/>
    <n v="43"/>
    <x v="0"/>
    <x v="0"/>
  </r>
  <r>
    <s v="CUST1040"/>
    <d v="2023-04-08T00:00:00"/>
    <m/>
    <n v="20"/>
    <s v="Male"/>
    <s v="Delhi"/>
    <x v="2"/>
    <n v="3953.63"/>
    <n v="1"/>
    <n v="25"/>
    <s v="UPI"/>
    <x v="0"/>
    <n v="35"/>
    <x v="0"/>
    <x v="0"/>
  </r>
  <r>
    <s v="CUST1041"/>
    <d v="2023-07-05T00:00:00"/>
    <m/>
    <n v="48"/>
    <s v="Female"/>
    <s v="Mumbai"/>
    <x v="1"/>
    <n v="9411.86"/>
    <n v="13"/>
    <n v="65"/>
    <s v="Card"/>
    <x v="0"/>
    <n v="32"/>
    <x v="1"/>
    <x v="1"/>
  </r>
  <r>
    <s v="CUST1042"/>
    <d v="2024-02-12T00:00:00"/>
    <d v="2025-01-26T00:00:00"/>
    <n v="27"/>
    <s v="Male"/>
    <s v="Delhi"/>
    <x v="2"/>
    <n v="4567.9399999999996"/>
    <n v="1"/>
    <n v="31"/>
    <s v="UPI"/>
    <x v="1"/>
    <n v="11"/>
    <x v="0"/>
    <x v="3"/>
  </r>
  <r>
    <s v="CUST1043"/>
    <d v="2023-05-10T00:00:00"/>
    <m/>
    <n v="41"/>
    <s v="Male"/>
    <s v="Pune"/>
    <x v="1"/>
    <n v="12306.02"/>
    <n v="7"/>
    <n v="57"/>
    <s v="Card"/>
    <x v="0"/>
    <n v="34"/>
    <x v="1"/>
    <x v="2"/>
  </r>
  <r>
    <s v="CUST1044"/>
    <d v="2022-05-18T00:00:00"/>
    <m/>
    <n v="22"/>
    <s v="Female"/>
    <s v="Bangalore"/>
    <x v="1"/>
    <n v="7441.36"/>
    <n v="7"/>
    <n v="32"/>
    <s v="UPI"/>
    <x v="0"/>
    <n v="45"/>
    <x v="0"/>
    <x v="0"/>
  </r>
  <r>
    <s v="CUST1045"/>
    <d v="2024-05-05T00:00:00"/>
    <m/>
    <n v="54"/>
    <s v="Male"/>
    <s v="Kolkata"/>
    <x v="1"/>
    <n v="10839.14"/>
    <n v="10"/>
    <n v="66"/>
    <s v="Card"/>
    <x v="0"/>
    <n v="22"/>
    <x v="1"/>
    <x v="1"/>
  </r>
  <r>
    <s v="CUST1046"/>
    <d v="2023-04-29T00:00:00"/>
    <d v="2023-07-31T00:00:00"/>
    <n v="48"/>
    <s v="Female"/>
    <s v="Kolkata"/>
    <x v="2"/>
    <n v="8082.22"/>
    <n v="10"/>
    <n v="45"/>
    <s v="PayPal"/>
    <x v="1"/>
    <n v="3"/>
    <x v="1"/>
    <x v="1"/>
  </r>
  <r>
    <s v="CUST1047"/>
    <d v="2022-07-15T00:00:00"/>
    <d v="2023-05-10T00:00:00"/>
    <n v="34"/>
    <s v="Male"/>
    <s v="Bangalore"/>
    <x v="1"/>
    <n v="4512.96"/>
    <n v="4"/>
    <n v="36"/>
    <s v="Other"/>
    <x v="1"/>
    <n v="9"/>
    <x v="0"/>
    <x v="3"/>
  </r>
  <r>
    <s v="CUST1048"/>
    <d v="2022-03-14T00:00:00"/>
    <d v="2022-05-28T00:00:00"/>
    <n v="23"/>
    <s v="Male"/>
    <s v="Hyderabad"/>
    <x v="1"/>
    <n v="4367.63"/>
    <n v="1"/>
    <n v="16"/>
    <s v="UPI"/>
    <x v="1"/>
    <n v="2"/>
    <x v="0"/>
    <x v="0"/>
  </r>
  <r>
    <s v="CUST1049"/>
    <d v="2024-05-01T00:00:00"/>
    <d v="2025-03-13T00:00:00"/>
    <n v="57"/>
    <s v="Male"/>
    <s v="Kolkata"/>
    <x v="1"/>
    <n v="7481.38"/>
    <n v="11"/>
    <n v="46"/>
    <s v="Card"/>
    <x v="1"/>
    <n v="10"/>
    <x v="1"/>
    <x v="1"/>
  </r>
  <r>
    <s v="CUST1050"/>
    <d v="2022-09-15T00:00:00"/>
    <m/>
    <n v="19"/>
    <s v="Female"/>
    <s v="Kolkata"/>
    <x v="2"/>
    <n v="22034.02"/>
    <n v="26"/>
    <n v="87"/>
    <s v="UPI"/>
    <x v="0"/>
    <n v="42"/>
    <x v="2"/>
    <x v="0"/>
  </r>
  <r>
    <s v="CUST1051"/>
    <d v="2023-12-06T00:00:00"/>
    <d v="2024-02-21T00:00:00"/>
    <n v="44"/>
    <s v="Male"/>
    <s v="Hyderabad"/>
    <x v="2"/>
    <n v="6063.35"/>
    <n v="1"/>
    <n v="24"/>
    <s v="Card"/>
    <x v="1"/>
    <n v="2"/>
    <x v="0"/>
    <x v="2"/>
  </r>
  <r>
    <s v="CUST1052"/>
    <d v="2023-02-05T00:00:00"/>
    <m/>
    <n v="50"/>
    <s v="Female"/>
    <s v="Pune"/>
    <x v="0"/>
    <n v="10097.959999999999"/>
    <n v="12"/>
    <n v="69"/>
    <s v="Card"/>
    <x v="0"/>
    <n v="37"/>
    <x v="1"/>
    <x v="1"/>
  </r>
  <r>
    <s v="CUST1053"/>
    <d v="2023-01-10T00:00:00"/>
    <d v="2023-09-29T00:00:00"/>
    <n v="31"/>
    <s v="Male"/>
    <s v="Kolkata"/>
    <x v="1"/>
    <n v="2616.66"/>
    <n v="3"/>
    <n v="19"/>
    <s v="UPI"/>
    <x v="1"/>
    <n v="8"/>
    <x v="0"/>
    <x v="3"/>
  </r>
  <r>
    <s v="CUST1054"/>
    <d v="2022-12-16T00:00:00"/>
    <m/>
    <n v="29"/>
    <s v="Male"/>
    <s v="Pune"/>
    <x v="1"/>
    <n v="3586.71"/>
    <n v="7"/>
    <n v="24"/>
    <s v="UPI"/>
    <x v="0"/>
    <n v="39"/>
    <x v="0"/>
    <x v="3"/>
  </r>
  <r>
    <s v="CUST1055"/>
    <d v="2023-08-28T00:00:00"/>
    <m/>
    <n v="57"/>
    <s v="Male"/>
    <s v="Bangalore"/>
    <x v="1"/>
    <n v="4454.99"/>
    <n v="5"/>
    <n v="37"/>
    <s v="UPI"/>
    <x v="0"/>
    <n v="30"/>
    <x v="0"/>
    <x v="1"/>
  </r>
  <r>
    <s v="CUST1056"/>
    <d v="2024-02-04T00:00:00"/>
    <m/>
    <n v="29"/>
    <s v="Female"/>
    <s v="Bangalore"/>
    <x v="0"/>
    <n v="5784.49"/>
    <n v="3"/>
    <n v="26"/>
    <s v="Card"/>
    <x v="0"/>
    <n v="25"/>
    <x v="0"/>
    <x v="3"/>
  </r>
  <r>
    <s v="CUST1057"/>
    <d v="2023-08-07T00:00:00"/>
    <d v="2024-02-06T00:00:00"/>
    <n v="51"/>
    <s v="Male"/>
    <s v="Pune"/>
    <x v="0"/>
    <n v="4382.1000000000004"/>
    <n v="4"/>
    <n v="28"/>
    <s v="PayPal"/>
    <x v="1"/>
    <n v="5"/>
    <x v="0"/>
    <x v="1"/>
  </r>
  <r>
    <s v="CUST1058"/>
    <d v="2022-10-07T00:00:00"/>
    <m/>
    <n v="55"/>
    <s v="Male"/>
    <s v="Hyderabad"/>
    <x v="1"/>
    <n v="6114.28"/>
    <n v="11"/>
    <n v="64"/>
    <s v="UPI"/>
    <x v="0"/>
    <n v="41"/>
    <x v="1"/>
    <x v="1"/>
  </r>
  <r>
    <s v="CUST1059"/>
    <d v="2023-06-07T00:00:00"/>
    <m/>
    <n v="42"/>
    <s v="Male"/>
    <s v="Delhi"/>
    <x v="2"/>
    <n v="16092.91"/>
    <n v="29"/>
    <n v="75"/>
    <s v="Card"/>
    <x v="0"/>
    <n v="33"/>
    <x v="2"/>
    <x v="2"/>
  </r>
  <r>
    <s v="CUST1060"/>
    <d v="2024-01-16T00:00:00"/>
    <m/>
    <n v="44"/>
    <s v="Female"/>
    <s v="Hyderabad"/>
    <x v="1"/>
    <n v="21714.6"/>
    <n v="13"/>
    <n v="93"/>
    <s v="UPI"/>
    <x v="0"/>
    <n v="26"/>
    <x v="2"/>
    <x v="2"/>
  </r>
  <r>
    <s v="CUST1061"/>
    <d v="2024-03-14T00:00:00"/>
    <d v="2024-04-24T00:00:00"/>
    <n v="38"/>
    <s v="Male"/>
    <s v="Bangalore"/>
    <x v="0"/>
    <n v="2845.03"/>
    <n v="2"/>
    <n v="20"/>
    <s v="Other"/>
    <x v="1"/>
    <n v="1"/>
    <x v="0"/>
    <x v="2"/>
  </r>
  <r>
    <s v="CUST1062"/>
    <d v="2023-03-25T00:00:00"/>
    <m/>
    <n v="50"/>
    <s v="Male"/>
    <s v="Kolkata"/>
    <x v="2"/>
    <n v="21579.17"/>
    <n v="25"/>
    <n v="73"/>
    <s v="Card"/>
    <x v="0"/>
    <n v="35"/>
    <x v="2"/>
    <x v="1"/>
  </r>
  <r>
    <s v="CUST1063"/>
    <d v="2022-11-14T00:00:00"/>
    <d v="2023-08-31T00:00:00"/>
    <n v="56"/>
    <s v="Female"/>
    <s v="Hyderabad"/>
    <x v="0"/>
    <n v="3885.01"/>
    <n v="6"/>
    <n v="37"/>
    <s v="PayPal"/>
    <x v="1"/>
    <n v="9"/>
    <x v="0"/>
    <x v="1"/>
  </r>
  <r>
    <s v="CUST1064"/>
    <d v="2023-01-27T00:00:00"/>
    <d v="2023-09-12T00:00:00"/>
    <n v="46"/>
    <s v="Male"/>
    <s v="Mumbai"/>
    <x v="2"/>
    <n v="14333.06"/>
    <n v="9"/>
    <n v="55"/>
    <s v="Other"/>
    <x v="1"/>
    <n v="7"/>
    <x v="1"/>
    <x v="1"/>
  </r>
  <r>
    <s v="CUST1065"/>
    <d v="2022-06-01T00:00:00"/>
    <m/>
    <n v="36"/>
    <s v="Female"/>
    <s v="Delhi"/>
    <x v="1"/>
    <n v="6013.98"/>
    <n v="1"/>
    <n v="22"/>
    <s v="PayPal"/>
    <x v="0"/>
    <n v="45"/>
    <x v="0"/>
    <x v="2"/>
  </r>
  <r>
    <s v="CUST1066"/>
    <d v="2022-04-03T00:00:00"/>
    <m/>
    <n v="19"/>
    <s v="Female"/>
    <s v="Delhi"/>
    <x v="2"/>
    <n v="5968.51"/>
    <n v="6"/>
    <n v="16"/>
    <s v="UPI"/>
    <x v="0"/>
    <n v="47"/>
    <x v="0"/>
    <x v="0"/>
  </r>
  <r>
    <s v="CUST1067"/>
    <d v="2024-01-30T00:00:00"/>
    <d v="2024-10-16T00:00:00"/>
    <n v="28"/>
    <s v="Female"/>
    <s v="Kolkata"/>
    <x v="1"/>
    <n v="3614.35"/>
    <n v="7"/>
    <n v="34"/>
    <s v="Card"/>
    <x v="1"/>
    <n v="8"/>
    <x v="0"/>
    <x v="3"/>
  </r>
  <r>
    <s v="CUST1068"/>
    <d v="2022-08-13T00:00:00"/>
    <d v="2023-01-27T00:00:00"/>
    <n v="28"/>
    <s v="Other"/>
    <s v="Kolkata"/>
    <x v="2"/>
    <n v="7924.1"/>
    <n v="14"/>
    <n v="48"/>
    <s v="Card"/>
    <x v="1"/>
    <n v="5"/>
    <x v="1"/>
    <x v="3"/>
  </r>
  <r>
    <s v="CUST1069"/>
    <d v="2023-10-24T00:00:00"/>
    <d v="2024-01-18T00:00:00"/>
    <n v="58"/>
    <s v="Male"/>
    <s v="Pune"/>
    <x v="1"/>
    <n v="4544.8500000000004"/>
    <n v="4"/>
    <n v="20"/>
    <s v="UPI"/>
    <x v="1"/>
    <n v="2"/>
    <x v="0"/>
    <x v="1"/>
  </r>
  <r>
    <s v="CUST1070"/>
    <d v="2022-12-23T00:00:00"/>
    <d v="2023-05-17T00:00:00"/>
    <n v="20"/>
    <s v="Male"/>
    <s v="Hyderabad"/>
    <x v="1"/>
    <n v="2323.37"/>
    <n v="2"/>
    <n v="36"/>
    <s v="Card"/>
    <x v="1"/>
    <n v="4"/>
    <x v="0"/>
    <x v="0"/>
  </r>
  <r>
    <s v="CUST1071"/>
    <d v="2023-04-27T00:00:00"/>
    <m/>
    <n v="49"/>
    <s v="Male"/>
    <s v="Kolkata"/>
    <x v="1"/>
    <n v="10435.5"/>
    <n v="14"/>
    <n v="67"/>
    <s v="UPI"/>
    <x v="0"/>
    <n v="34"/>
    <x v="1"/>
    <x v="1"/>
  </r>
  <r>
    <s v="CUST1072"/>
    <d v="2023-08-03T00:00:00"/>
    <m/>
    <n v="57"/>
    <s v="Male"/>
    <s v="Bangalore"/>
    <x v="0"/>
    <n v="18253.53"/>
    <n v="28"/>
    <n v="91"/>
    <s v="UPI"/>
    <x v="0"/>
    <n v="31"/>
    <x v="2"/>
    <x v="1"/>
  </r>
  <r>
    <s v="CUST1073"/>
    <d v="2024-06-10T00:00:00"/>
    <d v="2024-12-21T00:00:00"/>
    <n v="49"/>
    <s v="Female"/>
    <s v="Kolkata"/>
    <x v="1"/>
    <n v="11555.52"/>
    <n v="13"/>
    <n v="42"/>
    <s v="PayPal"/>
    <x v="1"/>
    <n v="6"/>
    <x v="1"/>
    <x v="1"/>
  </r>
  <r>
    <s v="CUST1074"/>
    <d v="2022-08-08T00:00:00"/>
    <m/>
    <n v="33"/>
    <s v="Male"/>
    <s v="Delhi"/>
    <x v="1"/>
    <n v="15798.54"/>
    <n v="12"/>
    <n v="94"/>
    <s v="PayPal"/>
    <x v="0"/>
    <n v="43"/>
    <x v="2"/>
    <x v="3"/>
  </r>
  <r>
    <s v="CUST1075"/>
    <d v="2023-04-27T00:00:00"/>
    <d v="2024-01-29T00:00:00"/>
    <n v="24"/>
    <s v="Male"/>
    <s v="Pune"/>
    <x v="0"/>
    <n v="12433.49"/>
    <n v="6"/>
    <n v="53"/>
    <s v="UPI"/>
    <x v="1"/>
    <n v="9"/>
    <x v="1"/>
    <x v="0"/>
  </r>
  <r>
    <s v="CUST1076"/>
    <d v="2022-01-20T00:00:00"/>
    <m/>
    <n v="38"/>
    <s v="Female"/>
    <s v="Kolkata"/>
    <x v="1"/>
    <n v="24425.18"/>
    <n v="28"/>
    <n v="81"/>
    <s v="UPI"/>
    <x v="0"/>
    <n v="49"/>
    <x v="2"/>
    <x v="2"/>
  </r>
  <r>
    <s v="CUST1077"/>
    <d v="2023-06-01T00:00:00"/>
    <m/>
    <n v="40"/>
    <s v="Female"/>
    <s v="Kolkata"/>
    <x v="1"/>
    <n v="4676.78"/>
    <n v="6"/>
    <n v="28"/>
    <s v="UPI"/>
    <x v="0"/>
    <n v="33"/>
    <x v="0"/>
    <x v="2"/>
  </r>
  <r>
    <s v="CUST1078"/>
    <d v="2024-02-27T00:00:00"/>
    <d v="2024-08-03T00:00:00"/>
    <n v="26"/>
    <s v="Female"/>
    <s v="Hyderabad"/>
    <x v="1"/>
    <n v="5062.79"/>
    <n v="1"/>
    <n v="10"/>
    <s v="UPI"/>
    <x v="1"/>
    <n v="5"/>
    <x v="0"/>
    <x v="3"/>
  </r>
  <r>
    <s v="CUST1079"/>
    <d v="2022-02-03T00:00:00"/>
    <m/>
    <n v="35"/>
    <s v="Female"/>
    <s v="Delhi"/>
    <x v="2"/>
    <n v="7944.92"/>
    <n v="2"/>
    <n v="22"/>
    <s v="Card"/>
    <x v="0"/>
    <n v="49"/>
    <x v="0"/>
    <x v="2"/>
  </r>
  <r>
    <s v="CUST1080"/>
    <d v="2022-05-04T00:00:00"/>
    <m/>
    <n v="49"/>
    <s v="Female"/>
    <s v="Pune"/>
    <x v="0"/>
    <n v="18191.68"/>
    <n v="15"/>
    <n v="87"/>
    <s v="Card"/>
    <x v="0"/>
    <n v="46"/>
    <x v="2"/>
    <x v="1"/>
  </r>
  <r>
    <s v="CUST1081"/>
    <d v="2022-10-14T00:00:00"/>
    <m/>
    <n v="25"/>
    <s v="Male"/>
    <s v="Hyderabad"/>
    <x v="1"/>
    <n v="14065.07"/>
    <n v="8"/>
    <n v="59"/>
    <s v="UPI"/>
    <x v="0"/>
    <n v="41"/>
    <x v="1"/>
    <x v="3"/>
  </r>
  <r>
    <s v="CUST1082"/>
    <d v="2023-11-29T00:00:00"/>
    <m/>
    <n v="27"/>
    <s v="Male"/>
    <s v="Bangalore"/>
    <x v="1"/>
    <n v="14308.36"/>
    <n v="12"/>
    <n v="61"/>
    <s v="Card"/>
    <x v="0"/>
    <n v="27"/>
    <x v="1"/>
    <x v="3"/>
  </r>
  <r>
    <s v="CUST1083"/>
    <d v="2024-01-12T00:00:00"/>
    <d v="2024-11-06T00:00:00"/>
    <n v="45"/>
    <s v="Female"/>
    <s v="Delhi"/>
    <x v="0"/>
    <n v="2476.1799999999998"/>
    <n v="3"/>
    <n v="26"/>
    <s v="Card"/>
    <x v="1"/>
    <n v="9"/>
    <x v="0"/>
    <x v="1"/>
  </r>
  <r>
    <s v="CUST1084"/>
    <d v="2024-04-21T00:00:00"/>
    <m/>
    <n v="55"/>
    <s v="Female"/>
    <s v="Mumbai"/>
    <x v="2"/>
    <n v="25569.26"/>
    <n v="18"/>
    <n v="88"/>
    <s v="Card"/>
    <x v="0"/>
    <n v="22"/>
    <x v="2"/>
    <x v="1"/>
  </r>
  <r>
    <s v="CUST1085"/>
    <d v="2024-06-14T00:00:00"/>
    <d v="2025-02-20T00:00:00"/>
    <n v="49"/>
    <s v="Male"/>
    <s v="Bangalore"/>
    <x v="0"/>
    <n v="14853.07"/>
    <n v="10"/>
    <n v="48"/>
    <s v="Card"/>
    <x v="1"/>
    <n v="8"/>
    <x v="1"/>
    <x v="1"/>
  </r>
  <r>
    <s v="CUST1086"/>
    <d v="2023-02-20T00:00:00"/>
    <m/>
    <n v="26"/>
    <s v="Male"/>
    <s v="Bangalore"/>
    <x v="1"/>
    <n v="12353.83"/>
    <n v="9"/>
    <n v="68"/>
    <s v="UPI"/>
    <x v="0"/>
    <n v="36"/>
    <x v="1"/>
    <x v="3"/>
  </r>
  <r>
    <s v="CUST1087"/>
    <d v="2022-05-11T00:00:00"/>
    <d v="2023-03-11T00:00:00"/>
    <n v="56"/>
    <s v="Female"/>
    <s v="Hyderabad"/>
    <x v="1"/>
    <n v="2495.09"/>
    <n v="7"/>
    <n v="27"/>
    <s v="Card"/>
    <x v="1"/>
    <n v="10"/>
    <x v="0"/>
    <x v="1"/>
  </r>
  <r>
    <s v="CUST1088"/>
    <d v="2022-03-25T00:00:00"/>
    <m/>
    <n v="18"/>
    <s v="Female"/>
    <s v="Delhi"/>
    <x v="0"/>
    <n v="11640.11"/>
    <n v="7"/>
    <n v="43"/>
    <s v="Card"/>
    <x v="0"/>
    <n v="47"/>
    <x v="1"/>
    <x v="0"/>
  </r>
  <r>
    <s v="CUST1089"/>
    <d v="2023-02-07T00:00:00"/>
    <m/>
    <n v="49"/>
    <s v="Female"/>
    <s v="Hyderabad"/>
    <x v="1"/>
    <n v="11074.68"/>
    <n v="14"/>
    <n v="57"/>
    <s v="UPI"/>
    <x v="0"/>
    <n v="37"/>
    <x v="1"/>
    <x v="1"/>
  </r>
  <r>
    <s v="CUST1090"/>
    <d v="2022-01-22T00:00:00"/>
    <m/>
    <n v="41"/>
    <s v="Female"/>
    <s v="Mumbai"/>
    <x v="1"/>
    <n v="3537.89"/>
    <n v="5"/>
    <n v="16"/>
    <s v="Card"/>
    <x v="0"/>
    <n v="49"/>
    <x v="0"/>
    <x v="2"/>
  </r>
  <r>
    <s v="CUST1091"/>
    <d v="2023-09-24T00:00:00"/>
    <d v="2024-06-30T00:00:00"/>
    <n v="50"/>
    <s v="Female"/>
    <s v="Bangalore"/>
    <x v="1"/>
    <n v="26370.16"/>
    <n v="17"/>
    <n v="87"/>
    <s v="UPI"/>
    <x v="1"/>
    <n v="9"/>
    <x v="2"/>
    <x v="1"/>
  </r>
  <r>
    <s v="CUST1092"/>
    <d v="2023-08-03T00:00:00"/>
    <m/>
    <n v="25"/>
    <s v="Male"/>
    <s v="Delhi"/>
    <x v="1"/>
    <n v="5422.72"/>
    <n v="6"/>
    <n v="24"/>
    <s v="UPI"/>
    <x v="0"/>
    <n v="31"/>
    <x v="0"/>
    <x v="3"/>
  </r>
  <r>
    <s v="CUST1093"/>
    <d v="2022-07-23T00:00:00"/>
    <d v="2023-07-01T00:00:00"/>
    <n v="18"/>
    <s v="Female"/>
    <s v="Bangalore"/>
    <x v="1"/>
    <n v="5990.04"/>
    <n v="14"/>
    <n v="54"/>
    <s v="Card"/>
    <x v="1"/>
    <n v="11"/>
    <x v="1"/>
    <x v="0"/>
  </r>
  <r>
    <s v="CUST1094"/>
    <d v="2022-02-17T00:00:00"/>
    <m/>
    <n v="48"/>
    <s v="Female"/>
    <s v="Hyderabad"/>
    <x v="1"/>
    <n v="19793.53"/>
    <n v="17"/>
    <n v="87"/>
    <s v="UPI"/>
    <x v="0"/>
    <n v="49"/>
    <x v="2"/>
    <x v="1"/>
  </r>
  <r>
    <s v="CUST1095"/>
    <d v="2024-02-24T00:00:00"/>
    <m/>
    <n v="45"/>
    <s v="Male"/>
    <s v="Mumbai"/>
    <x v="1"/>
    <n v="19296.689999999999"/>
    <n v="28"/>
    <n v="87"/>
    <s v="UPI"/>
    <x v="0"/>
    <n v="24"/>
    <x v="2"/>
    <x v="1"/>
  </r>
  <r>
    <s v="CUST1096"/>
    <d v="2023-06-09T00:00:00"/>
    <d v="2023-12-12T00:00:00"/>
    <n v="53"/>
    <s v="Female"/>
    <s v="Kolkata"/>
    <x v="1"/>
    <n v="6286.78"/>
    <n v="4"/>
    <n v="33"/>
    <s v="PayPal"/>
    <x v="1"/>
    <n v="6"/>
    <x v="0"/>
    <x v="1"/>
  </r>
  <r>
    <s v="CUST1097"/>
    <d v="2022-12-16T00:00:00"/>
    <d v="2023-07-04T00:00:00"/>
    <n v="38"/>
    <s v="Male"/>
    <s v="Hyderabad"/>
    <x v="2"/>
    <n v="11461.72"/>
    <n v="10"/>
    <n v="47"/>
    <s v="Other"/>
    <x v="1"/>
    <n v="6"/>
    <x v="1"/>
    <x v="2"/>
  </r>
  <r>
    <s v="CUST1098"/>
    <d v="2022-04-18T00:00:00"/>
    <m/>
    <n v="18"/>
    <s v="Female"/>
    <s v="Mumbai"/>
    <x v="1"/>
    <n v="29067.45"/>
    <n v="22"/>
    <n v="83"/>
    <s v="UPI"/>
    <x v="0"/>
    <n v="46"/>
    <x v="2"/>
    <x v="0"/>
  </r>
  <r>
    <s v="CUST1099"/>
    <d v="2024-01-16T00:00:00"/>
    <d v="2024-07-02T00:00:00"/>
    <n v="58"/>
    <s v="Male"/>
    <s v="Hyderabad"/>
    <x v="1"/>
    <n v="29718.07"/>
    <n v="27"/>
    <n v="73"/>
    <s v="Card"/>
    <x v="1"/>
    <n v="5"/>
    <x v="2"/>
    <x v="1"/>
  </r>
  <r>
    <s v="CUST1100"/>
    <d v="2023-01-29T00:00:00"/>
    <m/>
    <n v="20"/>
    <s v="Male"/>
    <s v="Kolkata"/>
    <x v="2"/>
    <n v="8918.02"/>
    <n v="11"/>
    <n v="66"/>
    <s v="UPI"/>
    <x v="0"/>
    <n v="37"/>
    <x v="1"/>
    <x v="0"/>
  </r>
  <r>
    <s v="CUST1101"/>
    <d v="2024-04-24T00:00:00"/>
    <m/>
    <n v="24"/>
    <s v="Female"/>
    <s v="Pune"/>
    <x v="2"/>
    <n v="8425.2999999999993"/>
    <n v="6"/>
    <n v="62"/>
    <s v="Card"/>
    <x v="0"/>
    <n v="22"/>
    <x v="1"/>
    <x v="0"/>
  </r>
  <r>
    <s v="CUST1102"/>
    <d v="2024-04-15T00:00:00"/>
    <d v="2024-08-05T00:00:00"/>
    <n v="52"/>
    <s v="Male"/>
    <s v="Kolkata"/>
    <x v="1"/>
    <n v="10257.81"/>
    <n v="7"/>
    <n v="46"/>
    <s v="UPI"/>
    <x v="1"/>
    <n v="3"/>
    <x v="1"/>
    <x v="1"/>
  </r>
  <r>
    <s v="CUST1103"/>
    <d v="2023-09-15T00:00:00"/>
    <d v="2023-12-21T00:00:00"/>
    <n v="31"/>
    <s v="Female"/>
    <s v="Kolkata"/>
    <x v="1"/>
    <n v="7286.93"/>
    <n v="4"/>
    <n v="15"/>
    <s v="Card"/>
    <x v="1"/>
    <n v="3"/>
    <x v="0"/>
    <x v="3"/>
  </r>
  <r>
    <s v="CUST1104"/>
    <d v="2023-10-17T00:00:00"/>
    <m/>
    <n v="46"/>
    <s v="Male"/>
    <s v="Bangalore"/>
    <x v="0"/>
    <n v="16698.54"/>
    <n v="23"/>
    <n v="86"/>
    <s v="Card"/>
    <x v="0"/>
    <n v="29"/>
    <x v="2"/>
    <x v="1"/>
  </r>
  <r>
    <s v="CUST1105"/>
    <d v="2023-09-29T00:00:00"/>
    <d v="2024-02-25T00:00:00"/>
    <n v="22"/>
    <s v="Female"/>
    <s v="Mumbai"/>
    <x v="2"/>
    <n v="6215.4"/>
    <n v="1"/>
    <n v="37"/>
    <s v="UPI"/>
    <x v="1"/>
    <n v="4"/>
    <x v="0"/>
    <x v="0"/>
  </r>
  <r>
    <s v="CUST1106"/>
    <d v="2022-10-04T00:00:00"/>
    <d v="2023-01-18T00:00:00"/>
    <n v="38"/>
    <s v="Male"/>
    <s v="Hyderabad"/>
    <x v="1"/>
    <n v="5707.26"/>
    <n v="4"/>
    <n v="39"/>
    <s v="UPI"/>
    <x v="1"/>
    <n v="3"/>
    <x v="0"/>
    <x v="2"/>
  </r>
  <r>
    <s v="CUST1107"/>
    <d v="2022-11-06T00:00:00"/>
    <m/>
    <n v="35"/>
    <s v="Male"/>
    <s v="Mumbai"/>
    <x v="1"/>
    <n v="25483"/>
    <n v="19"/>
    <n v="91"/>
    <s v="UPI"/>
    <x v="0"/>
    <n v="40"/>
    <x v="2"/>
    <x v="2"/>
  </r>
  <r>
    <s v="CUST1108"/>
    <d v="2024-04-07T00:00:00"/>
    <m/>
    <n v="57"/>
    <s v="Male"/>
    <s v="Hyderabad"/>
    <x v="1"/>
    <n v="2270.25"/>
    <n v="6"/>
    <n v="24"/>
    <s v="Other"/>
    <x v="0"/>
    <n v="23"/>
    <x v="0"/>
    <x v="1"/>
  </r>
  <r>
    <s v="CUST1109"/>
    <d v="2022-02-05T00:00:00"/>
    <m/>
    <n v="40"/>
    <s v="Female"/>
    <s v="Bangalore"/>
    <x v="1"/>
    <n v="6478.27"/>
    <n v="1"/>
    <n v="39"/>
    <s v="Card"/>
    <x v="0"/>
    <n v="49"/>
    <x v="0"/>
    <x v="2"/>
  </r>
  <r>
    <s v="CUST1110"/>
    <d v="2024-03-27T00:00:00"/>
    <m/>
    <n v="36"/>
    <s v="Female"/>
    <s v="Delhi"/>
    <x v="1"/>
    <n v="6800.13"/>
    <n v="8"/>
    <n v="60"/>
    <s v="Card"/>
    <x v="0"/>
    <n v="23"/>
    <x v="1"/>
    <x v="2"/>
  </r>
  <r>
    <s v="CUST1111"/>
    <d v="2022-09-18T00:00:00"/>
    <d v="2023-08-26T00:00:00"/>
    <n v="49"/>
    <s v="Female"/>
    <s v="Pune"/>
    <x v="1"/>
    <n v="10897.87"/>
    <n v="8"/>
    <n v="49"/>
    <s v="UPI"/>
    <x v="1"/>
    <n v="11"/>
    <x v="1"/>
    <x v="1"/>
  </r>
  <r>
    <s v="CUST1112"/>
    <d v="2024-03-22T00:00:00"/>
    <m/>
    <n v="41"/>
    <s v="Female"/>
    <s v="Pune"/>
    <x v="1"/>
    <n v="2045.1"/>
    <n v="4"/>
    <n v="35"/>
    <s v="Card"/>
    <x v="0"/>
    <n v="23"/>
    <x v="0"/>
    <x v="2"/>
  </r>
  <r>
    <s v="CUST1113"/>
    <d v="2023-04-02T00:00:00"/>
    <d v="2023-07-01T00:00:00"/>
    <n v="32"/>
    <s v="Male"/>
    <s v="Kolkata"/>
    <x v="1"/>
    <n v="4312.24"/>
    <n v="4"/>
    <n v="36"/>
    <s v="UPI"/>
    <x v="1"/>
    <n v="2"/>
    <x v="0"/>
    <x v="3"/>
  </r>
  <r>
    <s v="CUST1114"/>
    <d v="2023-04-20T00:00:00"/>
    <m/>
    <n v="34"/>
    <s v="Male"/>
    <s v="Pune"/>
    <x v="1"/>
    <n v="4228.25"/>
    <n v="5"/>
    <n v="33"/>
    <s v="Card"/>
    <x v="0"/>
    <n v="34"/>
    <x v="0"/>
    <x v="3"/>
  </r>
  <r>
    <s v="CUST1115"/>
    <d v="2024-02-02T00:00:00"/>
    <m/>
    <n v="35"/>
    <s v="Male"/>
    <s v="Pune"/>
    <x v="1"/>
    <n v="6840.46"/>
    <n v="2"/>
    <n v="26"/>
    <s v="UPI"/>
    <x v="0"/>
    <n v="25"/>
    <x v="0"/>
    <x v="2"/>
  </r>
  <r>
    <s v="CUST1116"/>
    <d v="2023-07-21T00:00:00"/>
    <m/>
    <n v="25"/>
    <s v="Female"/>
    <s v="Delhi"/>
    <x v="2"/>
    <n v="9192.24"/>
    <n v="12"/>
    <n v="51"/>
    <s v="Card"/>
    <x v="0"/>
    <n v="31"/>
    <x v="1"/>
    <x v="3"/>
  </r>
  <r>
    <s v="CUST1117"/>
    <d v="2023-07-10T00:00:00"/>
    <m/>
    <n v="25"/>
    <s v="Male"/>
    <s v="Mumbai"/>
    <x v="0"/>
    <n v="7080.95"/>
    <n v="7"/>
    <n v="24"/>
    <s v="Card"/>
    <x v="0"/>
    <n v="32"/>
    <x v="0"/>
    <x v="3"/>
  </r>
  <r>
    <s v="CUST1118"/>
    <d v="2022-08-04T00:00:00"/>
    <m/>
    <n v="53"/>
    <s v="Male"/>
    <s v="Hyderabad"/>
    <x v="0"/>
    <n v="18479.240000000002"/>
    <n v="25"/>
    <n v="96"/>
    <s v="Card"/>
    <x v="0"/>
    <n v="43"/>
    <x v="2"/>
    <x v="1"/>
  </r>
  <r>
    <s v="CUST1119"/>
    <d v="2023-03-11T00:00:00"/>
    <d v="2023-04-21T00:00:00"/>
    <n v="18"/>
    <s v="Female"/>
    <s v="Hyderabad"/>
    <x v="1"/>
    <n v="5696.76"/>
    <n v="7"/>
    <n v="41"/>
    <s v="UPI"/>
    <x v="1"/>
    <n v="1"/>
    <x v="1"/>
    <x v="0"/>
  </r>
  <r>
    <s v="CUST1120"/>
    <d v="2022-02-09T00:00:00"/>
    <m/>
    <n v="39"/>
    <s v="Female"/>
    <s v="Mumbai"/>
    <x v="0"/>
    <n v="10661.38"/>
    <n v="7"/>
    <n v="67"/>
    <s v="Card"/>
    <x v="0"/>
    <n v="49"/>
    <x v="1"/>
    <x v="2"/>
  </r>
  <r>
    <s v="CUST1121"/>
    <d v="2022-05-12T00:00:00"/>
    <m/>
    <n v="47"/>
    <s v="Female"/>
    <s v="Pune"/>
    <x v="2"/>
    <n v="24585.74"/>
    <n v="16"/>
    <n v="84"/>
    <s v="Other"/>
    <x v="0"/>
    <n v="46"/>
    <x v="2"/>
    <x v="1"/>
  </r>
  <r>
    <s v="CUST1122"/>
    <d v="2023-02-18T00:00:00"/>
    <d v="2023-11-26T00:00:00"/>
    <n v="48"/>
    <s v="Male"/>
    <s v="Bangalore"/>
    <x v="1"/>
    <n v="5615.12"/>
    <n v="4"/>
    <n v="36"/>
    <s v="Card"/>
    <x v="1"/>
    <n v="9"/>
    <x v="0"/>
    <x v="1"/>
  </r>
  <r>
    <s v="CUST1123"/>
    <d v="2023-04-06T00:00:00"/>
    <m/>
    <n v="27"/>
    <s v="Female"/>
    <s v="Kolkata"/>
    <x v="1"/>
    <n v="14533.22"/>
    <n v="29"/>
    <n v="92"/>
    <s v="Card"/>
    <x v="0"/>
    <n v="35"/>
    <x v="2"/>
    <x v="3"/>
  </r>
  <r>
    <s v="CUST1124"/>
    <d v="2024-04-27T00:00:00"/>
    <d v="2025-04-09T00:00:00"/>
    <n v="27"/>
    <s v="Female"/>
    <s v="Mumbai"/>
    <x v="2"/>
    <n v="5871.33"/>
    <n v="12"/>
    <n v="40"/>
    <s v="Card"/>
    <x v="1"/>
    <n v="11"/>
    <x v="0"/>
    <x v="3"/>
  </r>
  <r>
    <s v="CUST1125"/>
    <d v="2024-03-08T00:00:00"/>
    <m/>
    <n v="19"/>
    <s v="Female"/>
    <s v="Pune"/>
    <x v="2"/>
    <n v="4604.38"/>
    <n v="1"/>
    <n v="12"/>
    <s v="UPI"/>
    <x v="0"/>
    <n v="24"/>
    <x v="0"/>
    <x v="0"/>
  </r>
  <r>
    <s v="CUST1126"/>
    <d v="2023-10-11T00:00:00"/>
    <m/>
    <n v="38"/>
    <s v="Female"/>
    <s v="Pune"/>
    <x v="2"/>
    <n v="25286.16"/>
    <n v="20"/>
    <n v="91"/>
    <s v="Card"/>
    <x v="0"/>
    <n v="29"/>
    <x v="2"/>
    <x v="2"/>
  </r>
  <r>
    <s v="CUST1127"/>
    <d v="2023-07-21T00:00:00"/>
    <d v="2023-11-15T00:00:00"/>
    <n v="34"/>
    <s v="Male"/>
    <s v="Bangalore"/>
    <x v="1"/>
    <n v="4574.72"/>
    <n v="3"/>
    <n v="29"/>
    <s v="UPI"/>
    <x v="1"/>
    <n v="3"/>
    <x v="0"/>
    <x v="3"/>
  </r>
  <r>
    <s v="CUST1128"/>
    <d v="2023-11-10T00:00:00"/>
    <m/>
    <n v="33"/>
    <s v="Female"/>
    <s v="Pune"/>
    <x v="2"/>
    <n v="9388.85"/>
    <n v="10"/>
    <n v="68"/>
    <s v="UPI"/>
    <x v="0"/>
    <n v="28"/>
    <x v="1"/>
    <x v="3"/>
  </r>
  <r>
    <s v="CUST1129"/>
    <d v="2023-01-09T00:00:00"/>
    <m/>
    <n v="44"/>
    <s v="Female"/>
    <s v="Mumbai"/>
    <x v="2"/>
    <n v="14988.53"/>
    <n v="21"/>
    <n v="78"/>
    <s v="UPI"/>
    <x v="0"/>
    <n v="38"/>
    <x v="2"/>
    <x v="2"/>
  </r>
  <r>
    <s v="CUST1130"/>
    <d v="2023-12-12T00:00:00"/>
    <d v="2024-09-24T00:00:00"/>
    <n v="53"/>
    <s v="Male"/>
    <s v="Kolkata"/>
    <x v="2"/>
    <n v="15072.62"/>
    <n v="28"/>
    <n v="90"/>
    <s v="PayPal"/>
    <x v="1"/>
    <n v="9"/>
    <x v="2"/>
    <x v="1"/>
  </r>
  <r>
    <s v="CUST1131"/>
    <d v="2023-10-24T00:00:00"/>
    <m/>
    <n v="20"/>
    <s v="Female"/>
    <s v="Hyderabad"/>
    <x v="1"/>
    <n v="26376.99"/>
    <n v="15"/>
    <n v="88"/>
    <s v="UPI"/>
    <x v="0"/>
    <n v="28"/>
    <x v="2"/>
    <x v="0"/>
  </r>
  <r>
    <s v="CUST1132"/>
    <d v="2022-02-14T00:00:00"/>
    <d v="2022-04-28T00:00:00"/>
    <n v="37"/>
    <s v="Male"/>
    <s v="Hyderabad"/>
    <x v="1"/>
    <n v="10981.34"/>
    <n v="11"/>
    <n v="68"/>
    <s v="Card"/>
    <x v="1"/>
    <n v="2"/>
    <x v="1"/>
    <x v="2"/>
  </r>
  <r>
    <s v="CUST1133"/>
    <d v="2023-10-10T00:00:00"/>
    <m/>
    <n v="23"/>
    <s v="Female"/>
    <s v="Pune"/>
    <x v="1"/>
    <n v="6269.09"/>
    <n v="7"/>
    <n v="35"/>
    <s v="Card"/>
    <x v="0"/>
    <n v="29"/>
    <x v="0"/>
    <x v="0"/>
  </r>
  <r>
    <s v="CUST1134"/>
    <d v="2023-12-23T00:00:00"/>
    <d v="2024-01-25T00:00:00"/>
    <n v="31"/>
    <s v="Male"/>
    <s v="Kolkata"/>
    <x v="1"/>
    <n v="10655.75"/>
    <n v="13"/>
    <n v="45"/>
    <s v="UPI"/>
    <x v="1"/>
    <n v="1"/>
    <x v="1"/>
    <x v="3"/>
  </r>
  <r>
    <s v="CUST1135"/>
    <d v="2023-05-11T00:00:00"/>
    <m/>
    <n v="20"/>
    <s v="Male"/>
    <s v="Hyderabad"/>
    <x v="1"/>
    <n v="2116.81"/>
    <n v="5"/>
    <n v="16"/>
    <s v="Card"/>
    <x v="0"/>
    <n v="34"/>
    <x v="0"/>
    <x v="0"/>
  </r>
  <r>
    <s v="CUST1136"/>
    <d v="2022-07-17T00:00:00"/>
    <m/>
    <n v="50"/>
    <s v="Male"/>
    <s v="Bangalore"/>
    <x v="1"/>
    <n v="6300.87"/>
    <n v="3"/>
    <n v="17"/>
    <s v="Card"/>
    <x v="0"/>
    <n v="44"/>
    <x v="0"/>
    <x v="1"/>
  </r>
  <r>
    <s v="CUST1137"/>
    <d v="2022-04-11T00:00:00"/>
    <d v="2022-11-27T00:00:00"/>
    <n v="58"/>
    <s v="Female"/>
    <s v="Bangalore"/>
    <x v="2"/>
    <n v="7532.76"/>
    <n v="1"/>
    <n v="10"/>
    <s v="UPI"/>
    <x v="1"/>
    <n v="7"/>
    <x v="0"/>
    <x v="1"/>
  </r>
  <r>
    <s v="CUST1138"/>
    <d v="2022-06-30T00:00:00"/>
    <d v="2023-05-18T00:00:00"/>
    <n v="56"/>
    <s v="Male"/>
    <s v="Pune"/>
    <x v="1"/>
    <n v="8708.77"/>
    <n v="7"/>
    <n v="64"/>
    <s v="UPI"/>
    <x v="1"/>
    <n v="10"/>
    <x v="1"/>
    <x v="1"/>
  </r>
  <r>
    <s v="CUST1139"/>
    <d v="2022-06-19T00:00:00"/>
    <m/>
    <n v="49"/>
    <s v="Female"/>
    <s v="Delhi"/>
    <x v="0"/>
    <n v="28458.98"/>
    <n v="20"/>
    <n v="95"/>
    <s v="UPI"/>
    <x v="0"/>
    <n v="44"/>
    <x v="2"/>
    <x v="1"/>
  </r>
  <r>
    <s v="CUST1140"/>
    <d v="2022-01-30T00:00:00"/>
    <d v="2022-06-07T00:00:00"/>
    <n v="29"/>
    <s v="Male"/>
    <s v="Pune"/>
    <x v="1"/>
    <n v="6618.53"/>
    <n v="4"/>
    <n v="10"/>
    <s v="PayPal"/>
    <x v="1"/>
    <n v="4"/>
    <x v="0"/>
    <x v="3"/>
  </r>
  <r>
    <s v="CUST1141"/>
    <d v="2022-10-10T00:00:00"/>
    <m/>
    <n v="40"/>
    <s v="Male"/>
    <s v="Pune"/>
    <x v="1"/>
    <n v="27063.41"/>
    <n v="24"/>
    <n v="87"/>
    <s v="UPI"/>
    <x v="0"/>
    <n v="41"/>
    <x v="2"/>
    <x v="2"/>
  </r>
  <r>
    <s v="CUST1142"/>
    <d v="2024-04-12T00:00:00"/>
    <d v="2024-11-07T00:00:00"/>
    <n v="18"/>
    <s v="Female"/>
    <s v="Bangalore"/>
    <x v="1"/>
    <n v="6569.81"/>
    <n v="4"/>
    <n v="36"/>
    <s v="Card"/>
    <x v="1"/>
    <n v="6"/>
    <x v="0"/>
    <x v="0"/>
  </r>
  <r>
    <s v="CUST1143"/>
    <d v="2024-02-04T00:00:00"/>
    <m/>
    <n v="39"/>
    <s v="Female"/>
    <s v="Kolkata"/>
    <x v="0"/>
    <n v="5816.95"/>
    <n v="7"/>
    <n v="68"/>
    <s v="Other"/>
    <x v="0"/>
    <n v="25"/>
    <x v="1"/>
    <x v="2"/>
  </r>
  <r>
    <s v="CUST1144"/>
    <d v="2022-07-10T00:00:00"/>
    <m/>
    <n v="19"/>
    <s v="Male"/>
    <s v="Delhi"/>
    <x v="1"/>
    <n v="7654.32"/>
    <n v="12"/>
    <n v="52"/>
    <s v="Card"/>
    <x v="0"/>
    <n v="44"/>
    <x v="1"/>
    <x v="0"/>
  </r>
  <r>
    <s v="CUST1145"/>
    <d v="2023-12-28T00:00:00"/>
    <d v="2024-11-18T00:00:00"/>
    <n v="32"/>
    <s v="Male"/>
    <s v="Pune"/>
    <x v="2"/>
    <n v="13574.33"/>
    <n v="7"/>
    <n v="49"/>
    <s v="Card"/>
    <x v="1"/>
    <n v="10"/>
    <x v="1"/>
    <x v="3"/>
  </r>
  <r>
    <s v="CUST1146"/>
    <d v="2024-01-09T00:00:00"/>
    <d v="2024-02-09T00:00:00"/>
    <n v="36"/>
    <s v="Female"/>
    <s v="Hyderabad"/>
    <x v="1"/>
    <n v="2301.67"/>
    <n v="7"/>
    <n v="11"/>
    <s v="Card"/>
    <x v="1"/>
    <n v="1"/>
    <x v="0"/>
    <x v="2"/>
  </r>
  <r>
    <s v="CUST1147"/>
    <d v="2022-01-13T00:00:00"/>
    <m/>
    <n v="53"/>
    <s v="Male"/>
    <s v="Delhi"/>
    <x v="2"/>
    <n v="21400.04"/>
    <n v="29"/>
    <n v="83"/>
    <s v="UPI"/>
    <x v="0"/>
    <n v="50"/>
    <x v="2"/>
    <x v="1"/>
  </r>
  <r>
    <s v="CUST1148"/>
    <d v="2023-10-09T00:00:00"/>
    <m/>
    <n v="28"/>
    <s v="Male"/>
    <s v="Mumbai"/>
    <x v="1"/>
    <n v="22867.02"/>
    <n v="29"/>
    <n v="82"/>
    <s v="UPI"/>
    <x v="0"/>
    <n v="29"/>
    <x v="2"/>
    <x v="3"/>
  </r>
  <r>
    <s v="CUST1149"/>
    <d v="2023-05-04T00:00:00"/>
    <d v="2023-06-18T00:00:00"/>
    <n v="52"/>
    <s v="Female"/>
    <s v="Mumbai"/>
    <x v="0"/>
    <n v="4102.1400000000003"/>
    <n v="5"/>
    <n v="18"/>
    <s v="Card"/>
    <x v="1"/>
    <n v="1"/>
    <x v="0"/>
    <x v="1"/>
  </r>
  <r>
    <s v="CUST1150"/>
    <d v="2023-03-20T00:00:00"/>
    <m/>
    <n v="24"/>
    <s v="Male"/>
    <s v="Pune"/>
    <x v="1"/>
    <n v="11499.99"/>
    <n v="7"/>
    <n v="41"/>
    <s v="PayPal"/>
    <x v="0"/>
    <n v="35"/>
    <x v="1"/>
    <x v="0"/>
  </r>
  <r>
    <s v="CUST1151"/>
    <d v="2022-04-17T00:00:00"/>
    <m/>
    <n v="28"/>
    <s v="Male"/>
    <s v="Hyderabad"/>
    <x v="0"/>
    <n v="12876.67"/>
    <n v="27"/>
    <n v="96"/>
    <s v="Card"/>
    <x v="0"/>
    <n v="47"/>
    <x v="2"/>
    <x v="3"/>
  </r>
  <r>
    <s v="CUST1152"/>
    <d v="2023-09-15T00:00:00"/>
    <d v="2024-09-12T00:00:00"/>
    <n v="44"/>
    <s v="Female"/>
    <s v="Bangalore"/>
    <x v="2"/>
    <n v="7134.82"/>
    <n v="2"/>
    <n v="16"/>
    <s v="PayPal"/>
    <x v="1"/>
    <n v="11"/>
    <x v="0"/>
    <x v="2"/>
  </r>
  <r>
    <s v="CUST1153"/>
    <d v="2024-06-03T00:00:00"/>
    <m/>
    <n v="32"/>
    <s v="Female"/>
    <s v="Pune"/>
    <x v="2"/>
    <n v="4551.08"/>
    <n v="7"/>
    <n v="19"/>
    <s v="UPI"/>
    <x v="0"/>
    <n v="21"/>
    <x v="0"/>
    <x v="3"/>
  </r>
  <r>
    <s v="CUST1154"/>
    <d v="2023-05-13T00:00:00"/>
    <m/>
    <n v="25"/>
    <s v="Female"/>
    <s v="Delhi"/>
    <x v="1"/>
    <n v="17731.62"/>
    <n v="24"/>
    <n v="93"/>
    <s v="Card"/>
    <x v="0"/>
    <n v="34"/>
    <x v="2"/>
    <x v="3"/>
  </r>
  <r>
    <s v="CUST1155"/>
    <d v="2022-12-16T00:00:00"/>
    <d v="2023-10-20T00:00:00"/>
    <n v="47"/>
    <s v="Female"/>
    <s v="Hyderabad"/>
    <x v="2"/>
    <n v="7790.76"/>
    <n v="13"/>
    <n v="45"/>
    <s v="Card"/>
    <x v="1"/>
    <n v="10"/>
    <x v="1"/>
    <x v="1"/>
  </r>
  <r>
    <s v="CUST1156"/>
    <d v="2023-05-02T00:00:00"/>
    <m/>
    <n v="48"/>
    <s v="Female"/>
    <s v="Kolkata"/>
    <x v="2"/>
    <n v="23254.09"/>
    <n v="29"/>
    <n v="78"/>
    <s v="Card"/>
    <x v="0"/>
    <n v="34"/>
    <x v="2"/>
    <x v="1"/>
  </r>
  <r>
    <s v="CUST1157"/>
    <d v="2022-08-23T00:00:00"/>
    <m/>
    <n v="42"/>
    <s v="Female"/>
    <s v="Delhi"/>
    <x v="2"/>
    <n v="15177.19"/>
    <n v="12"/>
    <n v="86"/>
    <s v="UPI"/>
    <x v="0"/>
    <n v="42"/>
    <x v="2"/>
    <x v="2"/>
  </r>
  <r>
    <s v="CUST1158"/>
    <d v="2023-06-14T00:00:00"/>
    <m/>
    <n v="26"/>
    <s v="Female"/>
    <s v="Hyderabad"/>
    <x v="2"/>
    <n v="5210.42"/>
    <n v="3"/>
    <n v="20"/>
    <s v="Card"/>
    <x v="0"/>
    <n v="33"/>
    <x v="0"/>
    <x v="3"/>
  </r>
  <r>
    <s v="CUST1159"/>
    <d v="2022-01-06T00:00:00"/>
    <m/>
    <n v="43"/>
    <s v="Male"/>
    <s v="Mumbai"/>
    <x v="0"/>
    <n v="13585.89"/>
    <n v="29"/>
    <n v="74"/>
    <s v="Other"/>
    <x v="0"/>
    <n v="50"/>
    <x v="2"/>
    <x v="2"/>
  </r>
  <r>
    <s v="CUST1160"/>
    <d v="2024-04-27T00:00:00"/>
    <d v="2024-11-07T00:00:00"/>
    <n v="49"/>
    <s v="Female"/>
    <s v="Mumbai"/>
    <x v="2"/>
    <n v="2184.34"/>
    <n v="7"/>
    <n v="35"/>
    <s v="Card"/>
    <x v="1"/>
    <n v="6"/>
    <x v="0"/>
    <x v="1"/>
  </r>
  <r>
    <s v="CUST1161"/>
    <d v="2022-02-19T00:00:00"/>
    <m/>
    <n v="59"/>
    <s v="Male"/>
    <s v="Pune"/>
    <x v="2"/>
    <n v="25594.11"/>
    <n v="13"/>
    <n v="76"/>
    <s v="PayPal"/>
    <x v="0"/>
    <n v="48"/>
    <x v="2"/>
    <x v="1"/>
  </r>
  <r>
    <s v="CUST1162"/>
    <d v="2023-03-15T00:00:00"/>
    <m/>
    <n v="42"/>
    <s v="Male"/>
    <s v="Delhi"/>
    <x v="1"/>
    <n v="24618.95"/>
    <n v="23"/>
    <n v="71"/>
    <s v="Card"/>
    <x v="0"/>
    <n v="36"/>
    <x v="2"/>
    <x v="2"/>
  </r>
  <r>
    <s v="CUST1163"/>
    <d v="2022-11-29T00:00:00"/>
    <d v="2023-06-02T00:00:00"/>
    <n v="32"/>
    <s v="Male"/>
    <s v="Bangalore"/>
    <x v="1"/>
    <n v="13667.85"/>
    <n v="14"/>
    <n v="63"/>
    <s v="Card"/>
    <x v="1"/>
    <n v="6"/>
    <x v="1"/>
    <x v="3"/>
  </r>
  <r>
    <s v="CUST1164"/>
    <d v="2023-09-10T00:00:00"/>
    <m/>
    <n v="53"/>
    <s v="Male"/>
    <s v="Pune"/>
    <x v="2"/>
    <n v="3333.14"/>
    <n v="5"/>
    <n v="31"/>
    <s v="UPI"/>
    <x v="0"/>
    <n v="30"/>
    <x v="0"/>
    <x v="1"/>
  </r>
  <r>
    <s v="CUST1165"/>
    <d v="2022-07-02T00:00:00"/>
    <d v="2022-12-10T00:00:00"/>
    <n v="33"/>
    <s v="Female"/>
    <s v="Pune"/>
    <x v="2"/>
    <n v="6790.17"/>
    <n v="13"/>
    <n v="56"/>
    <s v="UPI"/>
    <x v="1"/>
    <n v="5"/>
    <x v="1"/>
    <x v="3"/>
  </r>
  <r>
    <s v="CUST1166"/>
    <d v="2023-11-19T00:00:00"/>
    <m/>
    <n v="28"/>
    <s v="Male"/>
    <s v="Delhi"/>
    <x v="2"/>
    <n v="14103.54"/>
    <n v="13"/>
    <n v="51"/>
    <s v="Card"/>
    <x v="0"/>
    <n v="27"/>
    <x v="1"/>
    <x v="3"/>
  </r>
  <r>
    <s v="CUST1167"/>
    <d v="2023-02-26T00:00:00"/>
    <m/>
    <n v="51"/>
    <s v="Male"/>
    <s v="Mumbai"/>
    <x v="1"/>
    <n v="11373.26"/>
    <n v="8"/>
    <n v="61"/>
    <s v="Card"/>
    <x v="0"/>
    <n v="36"/>
    <x v="1"/>
    <x v="1"/>
  </r>
  <r>
    <s v="CUST1168"/>
    <d v="2023-08-23T00:00:00"/>
    <d v="2024-07-09T00:00:00"/>
    <n v="28"/>
    <s v="Female"/>
    <s v="Delhi"/>
    <x v="1"/>
    <n v="3721.3"/>
    <n v="2"/>
    <n v="14"/>
    <s v="Card"/>
    <x v="1"/>
    <n v="10"/>
    <x v="0"/>
    <x v="3"/>
  </r>
  <r>
    <s v="CUST1169"/>
    <d v="2023-10-24T00:00:00"/>
    <m/>
    <n v="45"/>
    <s v="Female"/>
    <s v="Bangalore"/>
    <x v="2"/>
    <n v="7373.62"/>
    <n v="12"/>
    <n v="46"/>
    <s v="Card"/>
    <x v="0"/>
    <n v="28"/>
    <x v="1"/>
    <x v="1"/>
  </r>
  <r>
    <s v="CUST1170"/>
    <d v="2022-09-18T00:00:00"/>
    <d v="2023-02-26T00:00:00"/>
    <n v="47"/>
    <s v="Male"/>
    <s v="Delhi"/>
    <x v="2"/>
    <n v="2179.6999999999998"/>
    <n v="4"/>
    <n v="36"/>
    <s v="UPI"/>
    <x v="1"/>
    <n v="5"/>
    <x v="0"/>
    <x v="1"/>
  </r>
  <r>
    <s v="CUST1171"/>
    <d v="2023-04-21T00:00:00"/>
    <d v="2024-01-09T00:00:00"/>
    <n v="49"/>
    <s v="Female"/>
    <s v="Pune"/>
    <x v="0"/>
    <n v="6667.64"/>
    <n v="2"/>
    <n v="16"/>
    <s v="UPI"/>
    <x v="1"/>
    <n v="8"/>
    <x v="0"/>
    <x v="1"/>
  </r>
  <r>
    <s v="CUST1172"/>
    <d v="2023-08-12T00:00:00"/>
    <d v="2024-05-22T00:00:00"/>
    <n v="26"/>
    <s v="Female"/>
    <s v="Hyderabad"/>
    <x v="0"/>
    <n v="15794.24"/>
    <n v="29"/>
    <n v="71"/>
    <s v="Card"/>
    <x v="1"/>
    <n v="9"/>
    <x v="2"/>
    <x v="3"/>
  </r>
  <r>
    <s v="CUST1173"/>
    <d v="2022-08-22T00:00:00"/>
    <m/>
    <n v="26"/>
    <s v="Male"/>
    <s v="Pune"/>
    <x v="0"/>
    <n v="27241.71"/>
    <n v="29"/>
    <n v="88"/>
    <s v="Card"/>
    <x v="0"/>
    <n v="42"/>
    <x v="2"/>
    <x v="3"/>
  </r>
  <r>
    <s v="CUST1174"/>
    <d v="2022-11-28T00:00:00"/>
    <d v="2023-10-01T00:00:00"/>
    <n v="41"/>
    <s v="Male"/>
    <s v="Pune"/>
    <x v="2"/>
    <n v="4212.07"/>
    <n v="5"/>
    <n v="14"/>
    <s v="Other"/>
    <x v="1"/>
    <n v="10"/>
    <x v="0"/>
    <x v="2"/>
  </r>
  <r>
    <s v="CUST1175"/>
    <d v="2024-02-14T00:00:00"/>
    <m/>
    <n v="54"/>
    <s v="Male"/>
    <s v="Kolkata"/>
    <x v="2"/>
    <n v="6853.62"/>
    <n v="6"/>
    <n v="57"/>
    <s v="Card"/>
    <x v="0"/>
    <n v="25"/>
    <x v="1"/>
    <x v="1"/>
  </r>
  <r>
    <s v="CUST1176"/>
    <d v="2024-06-07T00:00:00"/>
    <m/>
    <n v="34"/>
    <s v="Female"/>
    <s v="Bangalore"/>
    <x v="2"/>
    <n v="6275.21"/>
    <n v="2"/>
    <n v="18"/>
    <s v="UPI"/>
    <x v="0"/>
    <n v="21"/>
    <x v="0"/>
    <x v="3"/>
  </r>
  <r>
    <s v="CUST1177"/>
    <d v="2022-08-14T00:00:00"/>
    <d v="2022-10-31T00:00:00"/>
    <n v="23"/>
    <s v="Male"/>
    <s v="Hyderabad"/>
    <x v="1"/>
    <n v="10000.870000000001"/>
    <n v="11"/>
    <n v="65"/>
    <s v="Card"/>
    <x v="1"/>
    <n v="2"/>
    <x v="1"/>
    <x v="0"/>
  </r>
  <r>
    <s v="CUST1178"/>
    <d v="2023-04-15T00:00:00"/>
    <m/>
    <n v="49"/>
    <s v="Female"/>
    <s v="Mumbai"/>
    <x v="1"/>
    <n v="6353.2"/>
    <n v="5"/>
    <n v="55"/>
    <s v="Card"/>
    <x v="0"/>
    <n v="35"/>
    <x v="1"/>
    <x v="1"/>
  </r>
  <r>
    <s v="CUST1179"/>
    <d v="2022-03-27T00:00:00"/>
    <m/>
    <n v="30"/>
    <s v="Female"/>
    <s v="Hyderabad"/>
    <x v="1"/>
    <n v="4955.33"/>
    <n v="4"/>
    <n v="39"/>
    <s v="UPI"/>
    <x v="0"/>
    <n v="47"/>
    <x v="0"/>
    <x v="3"/>
  </r>
  <r>
    <s v="CUST1180"/>
    <d v="2023-11-02T00:00:00"/>
    <m/>
    <n v="37"/>
    <s v="Female"/>
    <s v="Bangalore"/>
    <x v="2"/>
    <n v="12345.61"/>
    <n v="11"/>
    <n v="56"/>
    <s v="Card"/>
    <x v="0"/>
    <n v="28"/>
    <x v="1"/>
    <x v="2"/>
  </r>
  <r>
    <s v="CUST1181"/>
    <d v="2024-05-25T00:00:00"/>
    <d v="2024-10-24T00:00:00"/>
    <n v="21"/>
    <s v="Female"/>
    <s v="Pune"/>
    <x v="0"/>
    <n v="17359.990000000002"/>
    <n v="14"/>
    <n v="78"/>
    <s v="UPI"/>
    <x v="1"/>
    <n v="4"/>
    <x v="2"/>
    <x v="0"/>
  </r>
  <r>
    <s v="CUST1182"/>
    <d v="2023-04-22T00:00:00"/>
    <d v="2023-09-05T00:00:00"/>
    <n v="30"/>
    <s v="Female"/>
    <s v="Hyderabad"/>
    <x v="1"/>
    <n v="6052.44"/>
    <n v="2"/>
    <n v="28"/>
    <s v="Card"/>
    <x v="1"/>
    <n v="4"/>
    <x v="0"/>
    <x v="3"/>
  </r>
  <r>
    <s v="CUST1183"/>
    <d v="2024-04-04T00:00:00"/>
    <m/>
    <n v="56"/>
    <s v="Male"/>
    <s v="Bangalore"/>
    <x v="1"/>
    <n v="13381"/>
    <n v="25"/>
    <n v="89"/>
    <s v="Card"/>
    <x v="0"/>
    <n v="23"/>
    <x v="2"/>
    <x v="1"/>
  </r>
  <r>
    <s v="CUST1184"/>
    <d v="2024-03-30T00:00:00"/>
    <d v="2024-10-30T00:00:00"/>
    <n v="30"/>
    <s v="Male"/>
    <s v="Delhi"/>
    <x v="1"/>
    <n v="3476.09"/>
    <n v="7"/>
    <n v="17"/>
    <s v="UPI"/>
    <x v="1"/>
    <n v="7"/>
    <x v="0"/>
    <x v="3"/>
  </r>
  <r>
    <s v="CUST1185"/>
    <d v="2022-09-05T00:00:00"/>
    <m/>
    <n v="52"/>
    <s v="Other"/>
    <s v="Mumbai"/>
    <x v="2"/>
    <n v="5891.06"/>
    <n v="2"/>
    <n v="12"/>
    <s v="UPI"/>
    <x v="0"/>
    <n v="42"/>
    <x v="0"/>
    <x v="1"/>
  </r>
  <r>
    <s v="CUST1186"/>
    <d v="2022-07-03T00:00:00"/>
    <d v="2023-06-05T00:00:00"/>
    <n v="23"/>
    <s v="Female"/>
    <s v="Kolkata"/>
    <x v="1"/>
    <n v="3070.21"/>
    <n v="2"/>
    <n v="35"/>
    <s v="Card"/>
    <x v="1"/>
    <n v="11"/>
    <x v="0"/>
    <x v="0"/>
  </r>
  <r>
    <s v="CUST1187"/>
    <d v="2023-09-26T00:00:00"/>
    <d v="2024-08-20T00:00:00"/>
    <n v="34"/>
    <s v="Female"/>
    <s v="Delhi"/>
    <x v="1"/>
    <n v="3315.18"/>
    <n v="1"/>
    <n v="16"/>
    <s v="UPI"/>
    <x v="1"/>
    <n v="10"/>
    <x v="0"/>
    <x v="3"/>
  </r>
  <r>
    <s v="CUST1188"/>
    <d v="2022-03-18T00:00:00"/>
    <m/>
    <n v="53"/>
    <s v="Female"/>
    <s v="Hyderabad"/>
    <x v="1"/>
    <n v="10179.14"/>
    <n v="13"/>
    <n v="54"/>
    <s v="UPI"/>
    <x v="0"/>
    <n v="47"/>
    <x v="1"/>
    <x v="1"/>
  </r>
  <r>
    <s v="CUST1189"/>
    <d v="2024-05-27T00:00:00"/>
    <m/>
    <n v="22"/>
    <s v="Female"/>
    <s v="Hyderabad"/>
    <x v="1"/>
    <n v="27659.09"/>
    <n v="20"/>
    <n v="88"/>
    <s v="PayPal"/>
    <x v="0"/>
    <n v="21"/>
    <x v="2"/>
    <x v="0"/>
  </r>
  <r>
    <s v="CUST1190"/>
    <d v="2023-12-13T00:00:00"/>
    <m/>
    <n v="44"/>
    <s v="Male"/>
    <s v="Bangalore"/>
    <x v="1"/>
    <n v="8510.0300000000007"/>
    <n v="5"/>
    <n v="60"/>
    <s v="UPI"/>
    <x v="0"/>
    <n v="27"/>
    <x v="1"/>
    <x v="2"/>
  </r>
  <r>
    <s v="CUST1191"/>
    <d v="2022-03-27T00:00:00"/>
    <m/>
    <n v="35"/>
    <s v="Female"/>
    <s v="Pune"/>
    <x v="2"/>
    <n v="17709.29"/>
    <n v="28"/>
    <n v="82"/>
    <s v="PayPal"/>
    <x v="0"/>
    <n v="47"/>
    <x v="2"/>
    <x v="2"/>
  </r>
  <r>
    <s v="CUST1192"/>
    <d v="2023-11-30T00:00:00"/>
    <m/>
    <n v="58"/>
    <s v="Female"/>
    <s v="Delhi"/>
    <x v="2"/>
    <n v="15824.85"/>
    <n v="14"/>
    <n v="81"/>
    <s v="Card"/>
    <x v="0"/>
    <n v="27"/>
    <x v="2"/>
    <x v="1"/>
  </r>
  <r>
    <s v="CUST1193"/>
    <d v="2024-03-20T00:00:00"/>
    <m/>
    <n v="39"/>
    <s v="Female"/>
    <s v="Hyderabad"/>
    <x v="1"/>
    <n v="14884.92"/>
    <n v="10"/>
    <n v="48"/>
    <s v="Card"/>
    <x v="0"/>
    <n v="23"/>
    <x v="1"/>
    <x v="2"/>
  </r>
  <r>
    <s v="CUST1194"/>
    <d v="2022-08-19T00:00:00"/>
    <m/>
    <n v="22"/>
    <s v="Male"/>
    <s v="Bangalore"/>
    <x v="1"/>
    <n v="8979.4500000000007"/>
    <n v="10"/>
    <n v="61"/>
    <s v="Card"/>
    <x v="0"/>
    <n v="42"/>
    <x v="1"/>
    <x v="0"/>
  </r>
  <r>
    <s v="CUST1195"/>
    <d v="2024-03-22T00:00:00"/>
    <m/>
    <n v="36"/>
    <s v="Male"/>
    <s v="Mumbai"/>
    <x v="1"/>
    <n v="6571.38"/>
    <n v="11"/>
    <n v="67"/>
    <s v="Card"/>
    <x v="0"/>
    <n v="23"/>
    <x v="1"/>
    <x v="2"/>
  </r>
  <r>
    <s v="CUST1196"/>
    <d v="2022-11-12T00:00:00"/>
    <d v="2023-05-14T00:00:00"/>
    <n v="51"/>
    <s v="Male"/>
    <s v="Pune"/>
    <x v="0"/>
    <n v="25346.83"/>
    <n v="17"/>
    <n v="86"/>
    <s v="Card"/>
    <x v="1"/>
    <n v="6"/>
    <x v="2"/>
    <x v="1"/>
  </r>
  <r>
    <s v="CUST1197"/>
    <d v="2024-04-30T00:00:00"/>
    <m/>
    <n v="21"/>
    <s v="Male"/>
    <s v="Kolkata"/>
    <x v="1"/>
    <n v="5047.78"/>
    <n v="11"/>
    <n v="69"/>
    <s v="Card"/>
    <x v="0"/>
    <n v="22"/>
    <x v="1"/>
    <x v="0"/>
  </r>
  <r>
    <s v="CUST1198"/>
    <d v="2023-07-30T00:00:00"/>
    <m/>
    <n v="32"/>
    <s v="Male"/>
    <s v="Hyderabad"/>
    <x v="2"/>
    <n v="14132.71"/>
    <n v="23"/>
    <n v="91"/>
    <s v="Card"/>
    <x v="0"/>
    <n v="31"/>
    <x v="2"/>
    <x v="3"/>
  </r>
  <r>
    <s v="CUST1199"/>
    <d v="2023-02-05T00:00:00"/>
    <m/>
    <n v="21"/>
    <s v="Female"/>
    <s v="Hyderabad"/>
    <x v="0"/>
    <n v="4516.96"/>
    <n v="5"/>
    <n v="15"/>
    <s v="Card"/>
    <x v="0"/>
    <n v="37"/>
    <x v="0"/>
    <x v="0"/>
  </r>
  <r>
    <s v="CUST1200"/>
    <d v="2022-02-05T00:00:00"/>
    <m/>
    <n v="24"/>
    <s v="Female"/>
    <s v="Hyderabad"/>
    <x v="1"/>
    <n v="14314.21"/>
    <n v="24"/>
    <n v="78"/>
    <s v="Card"/>
    <x v="0"/>
    <n v="49"/>
    <x v="2"/>
    <x v="0"/>
  </r>
  <r>
    <s v="CUST1201"/>
    <d v="2023-08-13T00:00:00"/>
    <m/>
    <n v="40"/>
    <s v="Female"/>
    <s v="Bangalore"/>
    <x v="1"/>
    <n v="14611.03"/>
    <n v="21"/>
    <n v="88"/>
    <s v="Card"/>
    <x v="0"/>
    <n v="31"/>
    <x v="2"/>
    <x v="2"/>
  </r>
  <r>
    <s v="CUST1202"/>
    <d v="2022-10-16T00:00:00"/>
    <m/>
    <n v="47"/>
    <s v="Male"/>
    <s v="Delhi"/>
    <x v="2"/>
    <n v="4132.91"/>
    <n v="5"/>
    <n v="23"/>
    <s v="PayPal"/>
    <x v="0"/>
    <n v="41"/>
    <x v="0"/>
    <x v="1"/>
  </r>
  <r>
    <s v="CUST1203"/>
    <d v="2023-09-22T00:00:00"/>
    <m/>
    <n v="25"/>
    <s v="Male"/>
    <s v="Bangalore"/>
    <x v="1"/>
    <n v="6480.36"/>
    <n v="5"/>
    <n v="69"/>
    <s v="UPI"/>
    <x v="0"/>
    <n v="29"/>
    <x v="1"/>
    <x v="3"/>
  </r>
  <r>
    <s v="CUST1204"/>
    <d v="2023-12-29T00:00:00"/>
    <m/>
    <n v="19"/>
    <s v="Male"/>
    <s v="Mumbai"/>
    <x v="1"/>
    <n v="6770.45"/>
    <n v="2"/>
    <n v="39"/>
    <s v="Card"/>
    <x v="0"/>
    <n v="26"/>
    <x v="0"/>
    <x v="0"/>
  </r>
  <r>
    <s v="CUST1205"/>
    <d v="2022-06-11T00:00:00"/>
    <d v="2022-12-06T00:00:00"/>
    <n v="31"/>
    <s v="Male"/>
    <s v="Bangalore"/>
    <x v="2"/>
    <n v="4928.38"/>
    <n v="6"/>
    <n v="31"/>
    <s v="Card"/>
    <x v="1"/>
    <n v="5"/>
    <x v="0"/>
    <x v="3"/>
  </r>
  <r>
    <s v="CUST1206"/>
    <d v="2022-02-15T00:00:00"/>
    <m/>
    <n v="37"/>
    <s v="Female"/>
    <s v="Hyderabad"/>
    <x v="2"/>
    <n v="5362.24"/>
    <n v="5"/>
    <n v="36"/>
    <s v="UPI"/>
    <x v="0"/>
    <n v="49"/>
    <x v="0"/>
    <x v="2"/>
  </r>
  <r>
    <s v="CUST1207"/>
    <d v="2023-09-21T00:00:00"/>
    <d v="2024-06-04T00:00:00"/>
    <n v="56"/>
    <s v="Male"/>
    <s v="Bangalore"/>
    <x v="2"/>
    <n v="5985.58"/>
    <n v="4"/>
    <n v="21"/>
    <s v="Card"/>
    <x v="1"/>
    <n v="8"/>
    <x v="0"/>
    <x v="1"/>
  </r>
  <r>
    <s v="CUST1208"/>
    <d v="2023-04-21T00:00:00"/>
    <m/>
    <n v="22"/>
    <s v="Female"/>
    <s v="Bangalore"/>
    <x v="1"/>
    <n v="9241.93"/>
    <n v="6"/>
    <n v="53"/>
    <s v="UPI"/>
    <x v="0"/>
    <n v="34"/>
    <x v="1"/>
    <x v="0"/>
  </r>
  <r>
    <s v="CUST1209"/>
    <d v="2023-02-03T00:00:00"/>
    <d v="2023-11-27T00:00:00"/>
    <n v="34"/>
    <s v="Female"/>
    <s v="Pune"/>
    <x v="2"/>
    <n v="3991.36"/>
    <n v="1"/>
    <n v="32"/>
    <s v="UPI"/>
    <x v="1"/>
    <n v="9"/>
    <x v="0"/>
    <x v="3"/>
  </r>
  <r>
    <s v="CUST1210"/>
    <d v="2022-02-15T00:00:00"/>
    <m/>
    <n v="54"/>
    <s v="Male"/>
    <s v="Hyderabad"/>
    <x v="0"/>
    <n v="11751.43"/>
    <n v="6"/>
    <n v="40"/>
    <s v="Card"/>
    <x v="0"/>
    <n v="49"/>
    <x v="0"/>
    <x v="1"/>
  </r>
  <r>
    <s v="CUST1211"/>
    <d v="2024-05-23T00:00:00"/>
    <m/>
    <n v="29"/>
    <s v="Female"/>
    <s v="Mumbai"/>
    <x v="1"/>
    <n v="6701.58"/>
    <n v="6"/>
    <n v="67"/>
    <s v="UPI"/>
    <x v="0"/>
    <n v="21"/>
    <x v="1"/>
    <x v="3"/>
  </r>
  <r>
    <s v="CUST1212"/>
    <d v="2022-02-12T00:00:00"/>
    <d v="2023-01-27T00:00:00"/>
    <n v="37"/>
    <s v="Female"/>
    <s v="Pune"/>
    <x v="2"/>
    <n v="6054.72"/>
    <n v="2"/>
    <n v="38"/>
    <s v="PayPal"/>
    <x v="1"/>
    <n v="11"/>
    <x v="0"/>
    <x v="2"/>
  </r>
  <r>
    <s v="CUST1213"/>
    <d v="2024-05-14T00:00:00"/>
    <m/>
    <n v="26"/>
    <s v="Male"/>
    <s v="Hyderabad"/>
    <x v="1"/>
    <n v="11824.77"/>
    <n v="13"/>
    <n v="41"/>
    <s v="UPI"/>
    <x v="0"/>
    <n v="22"/>
    <x v="1"/>
    <x v="3"/>
  </r>
  <r>
    <s v="CUST1214"/>
    <d v="2022-10-18T00:00:00"/>
    <m/>
    <n v="52"/>
    <s v="Female"/>
    <s v="Pune"/>
    <x v="2"/>
    <n v="13825.85"/>
    <n v="7"/>
    <n v="50"/>
    <s v="Card"/>
    <x v="0"/>
    <n v="40"/>
    <x v="1"/>
    <x v="1"/>
  </r>
  <r>
    <s v="CUST1215"/>
    <d v="2022-04-06T00:00:00"/>
    <m/>
    <n v="33"/>
    <s v="Female"/>
    <s v="Kolkata"/>
    <x v="1"/>
    <n v="16406.41"/>
    <n v="16"/>
    <n v="73"/>
    <s v="Card"/>
    <x v="0"/>
    <n v="47"/>
    <x v="2"/>
    <x v="3"/>
  </r>
  <r>
    <s v="CUST1216"/>
    <d v="2024-05-30T00:00:00"/>
    <m/>
    <n v="58"/>
    <s v="Male"/>
    <s v="Pune"/>
    <x v="1"/>
    <n v="3497.97"/>
    <n v="1"/>
    <n v="15"/>
    <s v="PayPal"/>
    <x v="0"/>
    <n v="21"/>
    <x v="0"/>
    <x v="1"/>
  </r>
  <r>
    <s v="CUST1217"/>
    <d v="2022-07-03T00:00:00"/>
    <m/>
    <n v="44"/>
    <s v="Female"/>
    <s v="Delhi"/>
    <x v="1"/>
    <n v="5326.02"/>
    <n v="1"/>
    <n v="35"/>
    <s v="Other"/>
    <x v="0"/>
    <n v="44"/>
    <x v="0"/>
    <x v="2"/>
  </r>
  <r>
    <s v="CUST1218"/>
    <d v="2022-08-19T00:00:00"/>
    <m/>
    <n v="21"/>
    <s v="Male"/>
    <s v="Bangalore"/>
    <x v="2"/>
    <n v="29028.09"/>
    <n v="29"/>
    <n v="89"/>
    <s v="UPI"/>
    <x v="0"/>
    <n v="42"/>
    <x v="2"/>
    <x v="0"/>
  </r>
  <r>
    <s v="CUST1219"/>
    <d v="2022-09-23T00:00:00"/>
    <m/>
    <n v="43"/>
    <s v="Female"/>
    <s v="Hyderabad"/>
    <x v="1"/>
    <n v="26770.14"/>
    <n v="25"/>
    <n v="95"/>
    <s v="Card"/>
    <x v="0"/>
    <n v="41"/>
    <x v="2"/>
    <x v="2"/>
  </r>
  <r>
    <s v="CUST1220"/>
    <d v="2022-09-27T00:00:00"/>
    <m/>
    <n v="46"/>
    <s v="Female"/>
    <s v="Mumbai"/>
    <x v="1"/>
    <n v="11332.3"/>
    <n v="8"/>
    <n v="49"/>
    <s v="UPI"/>
    <x v="0"/>
    <n v="41"/>
    <x v="1"/>
    <x v="1"/>
  </r>
  <r>
    <s v="CUST1221"/>
    <d v="2022-12-08T00:00:00"/>
    <d v="2023-04-18T00:00:00"/>
    <n v="20"/>
    <s v="Female"/>
    <s v="Bangalore"/>
    <x v="2"/>
    <n v="29086.21"/>
    <n v="25"/>
    <n v="72"/>
    <s v="PayPal"/>
    <x v="1"/>
    <n v="4"/>
    <x v="2"/>
    <x v="0"/>
  </r>
  <r>
    <s v="CUST1222"/>
    <d v="2022-01-02T00:00:00"/>
    <m/>
    <n v="51"/>
    <s v="Female"/>
    <s v="Delhi"/>
    <x v="1"/>
    <n v="28171.4"/>
    <n v="25"/>
    <n v="73"/>
    <s v="UPI"/>
    <x v="0"/>
    <n v="50"/>
    <x v="2"/>
    <x v="1"/>
  </r>
  <r>
    <s v="CUST1223"/>
    <d v="2022-10-15T00:00:00"/>
    <m/>
    <n v="59"/>
    <s v="Female"/>
    <s v="Hyderabad"/>
    <x v="1"/>
    <n v="9658.39"/>
    <n v="8"/>
    <n v="51"/>
    <s v="Other"/>
    <x v="0"/>
    <n v="41"/>
    <x v="1"/>
    <x v="1"/>
  </r>
  <r>
    <s v="CUST1224"/>
    <d v="2022-07-28T00:00:00"/>
    <d v="2023-03-04T00:00:00"/>
    <n v="48"/>
    <s v="Female"/>
    <s v="Mumbai"/>
    <x v="2"/>
    <n v="5068.32"/>
    <n v="9"/>
    <n v="58"/>
    <s v="UPI"/>
    <x v="1"/>
    <n v="7"/>
    <x v="1"/>
    <x v="1"/>
  </r>
  <r>
    <s v="CUST1225"/>
    <d v="2023-07-15T00:00:00"/>
    <m/>
    <n v="40"/>
    <s v="Female"/>
    <s v="Kolkata"/>
    <x v="1"/>
    <n v="5571.78"/>
    <n v="1"/>
    <n v="20"/>
    <s v="Card"/>
    <x v="0"/>
    <n v="32"/>
    <x v="0"/>
    <x v="2"/>
  </r>
  <r>
    <s v="CUST1226"/>
    <d v="2023-10-28T00:00:00"/>
    <m/>
    <n v="43"/>
    <s v="Female"/>
    <s v="Hyderabad"/>
    <x v="2"/>
    <n v="14304.67"/>
    <n v="11"/>
    <n v="45"/>
    <s v="Card"/>
    <x v="0"/>
    <n v="28"/>
    <x v="1"/>
    <x v="2"/>
  </r>
  <r>
    <s v="CUST1227"/>
    <d v="2023-05-13T00:00:00"/>
    <m/>
    <n v="59"/>
    <s v="Other"/>
    <s v="Kolkata"/>
    <x v="2"/>
    <n v="17605.38"/>
    <n v="24"/>
    <n v="72"/>
    <s v="Other"/>
    <x v="0"/>
    <n v="34"/>
    <x v="2"/>
    <x v="1"/>
  </r>
  <r>
    <s v="CUST1228"/>
    <d v="2022-06-11T00:00:00"/>
    <m/>
    <n v="40"/>
    <s v="Male"/>
    <s v="Delhi"/>
    <x v="1"/>
    <n v="11394.68"/>
    <n v="5"/>
    <n v="45"/>
    <s v="Other"/>
    <x v="0"/>
    <n v="45"/>
    <x v="1"/>
    <x v="2"/>
  </r>
  <r>
    <s v="CUST1229"/>
    <d v="2022-09-13T00:00:00"/>
    <d v="2023-02-10T00:00:00"/>
    <n v="25"/>
    <s v="Male"/>
    <s v="Kolkata"/>
    <x v="1"/>
    <n v="7149.05"/>
    <n v="5"/>
    <n v="10"/>
    <s v="PayPal"/>
    <x v="1"/>
    <n v="4"/>
    <x v="0"/>
    <x v="3"/>
  </r>
  <r>
    <s v="CUST1230"/>
    <d v="2022-12-05T00:00:00"/>
    <d v="2023-05-15T00:00:00"/>
    <n v="42"/>
    <s v="Male"/>
    <s v="Bangalore"/>
    <x v="2"/>
    <n v="3168.36"/>
    <n v="4"/>
    <n v="24"/>
    <s v="Card"/>
    <x v="1"/>
    <n v="5"/>
    <x v="0"/>
    <x v="2"/>
  </r>
  <r>
    <s v="CUST1231"/>
    <d v="2023-07-31T00:00:00"/>
    <d v="2024-04-09T00:00:00"/>
    <n v="49"/>
    <s v="Female"/>
    <s v="Hyderabad"/>
    <x v="1"/>
    <n v="15019.68"/>
    <n v="23"/>
    <n v="99"/>
    <s v="Card"/>
    <x v="1"/>
    <n v="8"/>
    <x v="2"/>
    <x v="1"/>
  </r>
  <r>
    <s v="CUST1232"/>
    <d v="2023-04-07T00:00:00"/>
    <m/>
    <n v="28"/>
    <s v="Male"/>
    <s v="Kolkata"/>
    <x v="1"/>
    <n v="2494.4699999999998"/>
    <n v="7"/>
    <n v="12"/>
    <s v="UPI"/>
    <x v="0"/>
    <n v="35"/>
    <x v="0"/>
    <x v="3"/>
  </r>
  <r>
    <s v="CUST1233"/>
    <d v="2024-04-06T00:00:00"/>
    <m/>
    <n v="33"/>
    <s v="Male"/>
    <s v="Mumbai"/>
    <x v="1"/>
    <n v="14072.28"/>
    <n v="9"/>
    <n v="61"/>
    <s v="Card"/>
    <x v="0"/>
    <n v="23"/>
    <x v="1"/>
    <x v="3"/>
  </r>
  <r>
    <s v="CUST1234"/>
    <d v="2022-09-24T00:00:00"/>
    <d v="2023-09-14T00:00:00"/>
    <n v="49"/>
    <s v="Female"/>
    <s v="Hyderabad"/>
    <x v="1"/>
    <n v="14615.46"/>
    <n v="5"/>
    <n v="69"/>
    <s v="PayPal"/>
    <x v="1"/>
    <n v="11"/>
    <x v="1"/>
    <x v="1"/>
  </r>
  <r>
    <s v="CUST1235"/>
    <d v="2023-03-13T00:00:00"/>
    <m/>
    <n v="43"/>
    <s v="Female"/>
    <s v="Delhi"/>
    <x v="2"/>
    <n v="7282.13"/>
    <n v="7"/>
    <n v="14"/>
    <s v="UPI"/>
    <x v="0"/>
    <n v="36"/>
    <x v="0"/>
    <x v="2"/>
  </r>
  <r>
    <s v="CUST1236"/>
    <d v="2023-05-22T00:00:00"/>
    <m/>
    <n v="40"/>
    <s v="Male"/>
    <s v="Bangalore"/>
    <x v="1"/>
    <n v="11459.37"/>
    <n v="13"/>
    <n v="65"/>
    <s v="UPI"/>
    <x v="0"/>
    <n v="33"/>
    <x v="1"/>
    <x v="2"/>
  </r>
  <r>
    <s v="CUST1237"/>
    <d v="2023-06-24T00:00:00"/>
    <m/>
    <n v="54"/>
    <s v="Other"/>
    <s v="Bangalore"/>
    <x v="0"/>
    <n v="18122.490000000002"/>
    <n v="17"/>
    <n v="78"/>
    <s v="UPI"/>
    <x v="0"/>
    <n v="32"/>
    <x v="2"/>
    <x v="1"/>
  </r>
  <r>
    <s v="CUST1238"/>
    <d v="2022-06-06T00:00:00"/>
    <d v="2023-04-13T00:00:00"/>
    <n v="40"/>
    <s v="Female"/>
    <s v="Delhi"/>
    <x v="1"/>
    <n v="6331.02"/>
    <n v="11"/>
    <n v="49"/>
    <s v="Card"/>
    <x v="1"/>
    <n v="10"/>
    <x v="1"/>
    <x v="2"/>
  </r>
  <r>
    <s v="CUST1239"/>
    <d v="2022-01-09T00:00:00"/>
    <m/>
    <n v="49"/>
    <s v="Female"/>
    <s v="Hyderabad"/>
    <x v="2"/>
    <n v="29835.16"/>
    <n v="23"/>
    <n v="78"/>
    <s v="PayPal"/>
    <x v="0"/>
    <n v="50"/>
    <x v="2"/>
    <x v="1"/>
  </r>
  <r>
    <s v="CUST1240"/>
    <d v="2024-01-30T00:00:00"/>
    <m/>
    <n v="48"/>
    <s v="Male"/>
    <s v="Delhi"/>
    <x v="2"/>
    <n v="25262.99"/>
    <n v="13"/>
    <n v="96"/>
    <s v="Card"/>
    <x v="0"/>
    <n v="25"/>
    <x v="2"/>
    <x v="1"/>
  </r>
  <r>
    <s v="CUST1241"/>
    <d v="2023-04-27T00:00:00"/>
    <m/>
    <n v="22"/>
    <s v="Male"/>
    <s v="Delhi"/>
    <x v="1"/>
    <n v="6130.58"/>
    <n v="9"/>
    <n v="57"/>
    <s v="UPI"/>
    <x v="0"/>
    <n v="34"/>
    <x v="1"/>
    <x v="0"/>
  </r>
  <r>
    <s v="CUST1242"/>
    <d v="2023-09-05T00:00:00"/>
    <d v="2024-06-18T00:00:00"/>
    <n v="23"/>
    <s v="Female"/>
    <s v="Bangalore"/>
    <x v="1"/>
    <n v="3217.22"/>
    <n v="7"/>
    <n v="14"/>
    <s v="Card"/>
    <x v="1"/>
    <n v="9"/>
    <x v="0"/>
    <x v="0"/>
  </r>
  <r>
    <s v="CUST1243"/>
    <d v="2023-03-05T00:00:00"/>
    <d v="2023-09-02T00:00:00"/>
    <n v="46"/>
    <s v="Male"/>
    <s v="Pune"/>
    <x v="1"/>
    <n v="4497.26"/>
    <n v="5"/>
    <n v="22"/>
    <s v="UPI"/>
    <x v="1"/>
    <n v="5"/>
    <x v="0"/>
    <x v="1"/>
  </r>
  <r>
    <s v="CUST1244"/>
    <d v="2024-02-06T00:00:00"/>
    <m/>
    <n v="54"/>
    <s v="Female"/>
    <s v="Mumbai"/>
    <x v="2"/>
    <n v="6692.29"/>
    <n v="10"/>
    <n v="54"/>
    <s v="UPI"/>
    <x v="0"/>
    <n v="25"/>
    <x v="1"/>
    <x v="1"/>
  </r>
  <r>
    <s v="CUST1245"/>
    <d v="2024-04-02T00:00:00"/>
    <d v="2024-05-22T00:00:00"/>
    <n v="33"/>
    <s v="Male"/>
    <s v="Hyderabad"/>
    <x v="0"/>
    <n v="11203.98"/>
    <n v="6"/>
    <n v="41"/>
    <s v="UPI"/>
    <x v="1"/>
    <n v="1"/>
    <x v="1"/>
    <x v="3"/>
  </r>
  <r>
    <s v="CUST1246"/>
    <d v="2022-10-26T00:00:00"/>
    <d v="2023-05-25T00:00:00"/>
    <n v="34"/>
    <s v="Female"/>
    <s v="Delhi"/>
    <x v="1"/>
    <n v="14509.55"/>
    <n v="14"/>
    <n v="60"/>
    <s v="Card"/>
    <x v="1"/>
    <n v="6"/>
    <x v="1"/>
    <x v="3"/>
  </r>
  <r>
    <s v="CUST1247"/>
    <d v="2022-12-15T00:00:00"/>
    <d v="2023-04-06T00:00:00"/>
    <n v="39"/>
    <s v="Male"/>
    <s v="Bangalore"/>
    <x v="1"/>
    <n v="6956.95"/>
    <n v="4"/>
    <n v="17"/>
    <s v="Card"/>
    <x v="1"/>
    <n v="3"/>
    <x v="0"/>
    <x v="2"/>
  </r>
  <r>
    <s v="CUST1248"/>
    <d v="2023-06-04T00:00:00"/>
    <m/>
    <n v="20"/>
    <s v="Male"/>
    <s v="Pune"/>
    <x v="1"/>
    <n v="10170.84"/>
    <n v="9"/>
    <n v="61"/>
    <s v="Card"/>
    <x v="0"/>
    <n v="33"/>
    <x v="1"/>
    <x v="0"/>
  </r>
  <r>
    <s v="CUST1249"/>
    <d v="2024-01-24T00:00:00"/>
    <d v="2024-05-31T00:00:00"/>
    <n v="39"/>
    <s v="Male"/>
    <s v="Bangalore"/>
    <x v="0"/>
    <n v="7189.31"/>
    <n v="7"/>
    <n v="43"/>
    <s v="Card"/>
    <x v="1"/>
    <n v="4"/>
    <x v="1"/>
    <x v="2"/>
  </r>
  <r>
    <s v="CUST1250"/>
    <d v="2022-05-24T00:00:00"/>
    <d v="2023-04-03T00:00:00"/>
    <n v="47"/>
    <s v="Female"/>
    <s v="Bangalore"/>
    <x v="1"/>
    <n v="10848.74"/>
    <n v="12"/>
    <n v="44"/>
    <s v="Card"/>
    <x v="1"/>
    <n v="10"/>
    <x v="1"/>
    <x v="1"/>
  </r>
  <r>
    <s v="CUST1251"/>
    <d v="2023-10-03T00:00:00"/>
    <d v="2024-08-01T00:00:00"/>
    <n v="22"/>
    <s v="Male"/>
    <s v="Pune"/>
    <x v="1"/>
    <n v="7762.04"/>
    <n v="4"/>
    <n v="16"/>
    <s v="Card"/>
    <x v="1"/>
    <n v="9"/>
    <x v="0"/>
    <x v="0"/>
  </r>
  <r>
    <s v="CUST1252"/>
    <d v="2022-07-30T00:00:00"/>
    <m/>
    <n v="39"/>
    <s v="Male"/>
    <s v="Hyderabad"/>
    <x v="0"/>
    <n v="12160.52"/>
    <n v="7"/>
    <n v="44"/>
    <s v="Other"/>
    <x v="0"/>
    <n v="43"/>
    <x v="1"/>
    <x v="2"/>
  </r>
  <r>
    <s v="CUST1253"/>
    <d v="2022-08-20T00:00:00"/>
    <m/>
    <n v="25"/>
    <s v="Female"/>
    <s v="Delhi"/>
    <x v="1"/>
    <n v="7999.02"/>
    <n v="7"/>
    <n v="33"/>
    <s v="UPI"/>
    <x v="0"/>
    <n v="42"/>
    <x v="0"/>
    <x v="3"/>
  </r>
  <r>
    <s v="CUST1254"/>
    <d v="2023-11-20T00:00:00"/>
    <m/>
    <n v="38"/>
    <s v="Female"/>
    <s v="Delhi"/>
    <x v="2"/>
    <n v="5292.34"/>
    <n v="1"/>
    <n v="35"/>
    <s v="Card"/>
    <x v="0"/>
    <n v="27"/>
    <x v="0"/>
    <x v="2"/>
  </r>
  <r>
    <s v="CUST1255"/>
    <d v="2023-03-25T00:00:00"/>
    <m/>
    <n v="38"/>
    <s v="Male"/>
    <s v="Pune"/>
    <x v="2"/>
    <n v="6759.36"/>
    <n v="1"/>
    <n v="32"/>
    <s v="PayPal"/>
    <x v="0"/>
    <n v="35"/>
    <x v="0"/>
    <x v="2"/>
  </r>
  <r>
    <s v="CUST1256"/>
    <d v="2022-02-14T00:00:00"/>
    <d v="2022-06-22T00:00:00"/>
    <n v="38"/>
    <s v="Female"/>
    <s v="Delhi"/>
    <x v="0"/>
    <n v="2216"/>
    <n v="2"/>
    <n v="13"/>
    <s v="Other"/>
    <x v="1"/>
    <n v="4"/>
    <x v="0"/>
    <x v="2"/>
  </r>
  <r>
    <s v="CUST1257"/>
    <d v="2023-06-06T00:00:00"/>
    <d v="2024-01-18T00:00:00"/>
    <n v="32"/>
    <s v="Male"/>
    <s v="Mumbai"/>
    <x v="1"/>
    <n v="4077.88"/>
    <n v="3"/>
    <n v="17"/>
    <s v="UPI"/>
    <x v="1"/>
    <n v="7"/>
    <x v="0"/>
    <x v="3"/>
  </r>
  <r>
    <s v="CUST1258"/>
    <d v="2024-03-25T00:00:00"/>
    <d v="2024-07-28T00:00:00"/>
    <n v="20"/>
    <s v="Female"/>
    <s v="Delhi"/>
    <x v="0"/>
    <n v="12148.58"/>
    <n v="12"/>
    <n v="40"/>
    <s v="Card"/>
    <x v="1"/>
    <n v="4"/>
    <x v="0"/>
    <x v="0"/>
  </r>
  <r>
    <s v="CUST1259"/>
    <d v="2023-03-17T00:00:00"/>
    <m/>
    <n v="26"/>
    <s v="Male"/>
    <s v="Pune"/>
    <x v="1"/>
    <n v="28707.31"/>
    <n v="21"/>
    <n v="79"/>
    <s v="PayPal"/>
    <x v="0"/>
    <n v="36"/>
    <x v="2"/>
    <x v="3"/>
  </r>
  <r>
    <s v="CUST1260"/>
    <d v="2022-06-26T00:00:00"/>
    <d v="2022-12-19T00:00:00"/>
    <n v="25"/>
    <s v="Male"/>
    <s v="Hyderabad"/>
    <x v="2"/>
    <n v="17014.52"/>
    <n v="18"/>
    <n v="93"/>
    <s v="UPI"/>
    <x v="1"/>
    <n v="5"/>
    <x v="2"/>
    <x v="3"/>
  </r>
  <r>
    <s v="CUST1261"/>
    <d v="2023-10-02T00:00:00"/>
    <m/>
    <n v="40"/>
    <s v="Male"/>
    <s v="Pune"/>
    <x v="1"/>
    <n v="16072.16"/>
    <n v="14"/>
    <n v="72"/>
    <s v="UPI"/>
    <x v="0"/>
    <n v="29"/>
    <x v="2"/>
    <x v="2"/>
  </r>
  <r>
    <s v="CUST1262"/>
    <d v="2023-03-04T00:00:00"/>
    <m/>
    <n v="56"/>
    <s v="Male"/>
    <s v="Pune"/>
    <x v="1"/>
    <n v="5596.02"/>
    <n v="9"/>
    <n v="40"/>
    <s v="UPI"/>
    <x v="0"/>
    <n v="36"/>
    <x v="0"/>
    <x v="1"/>
  </r>
  <r>
    <s v="CUST1263"/>
    <d v="2023-06-02T00:00:00"/>
    <m/>
    <n v="31"/>
    <s v="Female"/>
    <s v="Kolkata"/>
    <x v="2"/>
    <n v="2242.14"/>
    <n v="3"/>
    <n v="23"/>
    <s v="Card"/>
    <x v="0"/>
    <n v="33"/>
    <x v="0"/>
    <x v="3"/>
  </r>
  <r>
    <s v="CUST1264"/>
    <d v="2022-05-25T00:00:00"/>
    <m/>
    <n v="31"/>
    <s v="Female"/>
    <s v="Delhi"/>
    <x v="2"/>
    <n v="2747.77"/>
    <n v="4"/>
    <n v="15"/>
    <s v="Card"/>
    <x v="0"/>
    <n v="45"/>
    <x v="0"/>
    <x v="3"/>
  </r>
  <r>
    <s v="CUST1265"/>
    <d v="2022-01-12T00:00:00"/>
    <m/>
    <n v="42"/>
    <s v="Male"/>
    <s v="Hyderabad"/>
    <x v="1"/>
    <n v="28791.27"/>
    <n v="23"/>
    <n v="82"/>
    <s v="UPI"/>
    <x v="0"/>
    <n v="50"/>
    <x v="2"/>
    <x v="2"/>
  </r>
  <r>
    <s v="CUST1266"/>
    <d v="2024-05-24T00:00:00"/>
    <m/>
    <n v="32"/>
    <s v="Female"/>
    <s v="Delhi"/>
    <x v="1"/>
    <n v="11426.12"/>
    <n v="13"/>
    <n v="64"/>
    <s v="UPI"/>
    <x v="0"/>
    <n v="21"/>
    <x v="1"/>
    <x v="3"/>
  </r>
  <r>
    <s v="CUST1267"/>
    <d v="2022-06-10T00:00:00"/>
    <m/>
    <n v="34"/>
    <s v="Female"/>
    <s v="Hyderabad"/>
    <x v="2"/>
    <n v="13101.45"/>
    <n v="15"/>
    <n v="83"/>
    <s v="UPI"/>
    <x v="0"/>
    <n v="45"/>
    <x v="2"/>
    <x v="3"/>
  </r>
  <r>
    <s v="CUST1268"/>
    <d v="2024-03-19T00:00:00"/>
    <m/>
    <n v="24"/>
    <s v="Male"/>
    <s v="Bangalore"/>
    <x v="1"/>
    <n v="22702.93"/>
    <n v="24"/>
    <n v="93"/>
    <s v="UPI"/>
    <x v="0"/>
    <n v="23"/>
    <x v="2"/>
    <x v="0"/>
  </r>
  <r>
    <s v="CUST1269"/>
    <d v="2023-07-03T00:00:00"/>
    <m/>
    <n v="46"/>
    <s v="Male"/>
    <s v="Bangalore"/>
    <x v="1"/>
    <n v="5294.08"/>
    <n v="11"/>
    <n v="67"/>
    <s v="Card"/>
    <x v="0"/>
    <n v="32"/>
    <x v="1"/>
    <x v="1"/>
  </r>
  <r>
    <s v="CUST1270"/>
    <d v="2022-03-11T00:00:00"/>
    <m/>
    <n v="56"/>
    <s v="Male"/>
    <s v="Mumbai"/>
    <x v="1"/>
    <n v="10963.49"/>
    <n v="5"/>
    <n v="43"/>
    <s v="Card"/>
    <x v="0"/>
    <n v="48"/>
    <x v="1"/>
    <x v="1"/>
  </r>
  <r>
    <s v="CUST1271"/>
    <d v="2022-12-30T00:00:00"/>
    <m/>
    <n v="22"/>
    <s v="Male"/>
    <s v="Pune"/>
    <x v="2"/>
    <n v="9942.85"/>
    <n v="5"/>
    <n v="46"/>
    <s v="Card"/>
    <x v="0"/>
    <n v="38"/>
    <x v="1"/>
    <x v="0"/>
  </r>
  <r>
    <s v="CUST1272"/>
    <d v="2023-08-29T00:00:00"/>
    <m/>
    <n v="57"/>
    <s v="Male"/>
    <s v="Mumbai"/>
    <x v="1"/>
    <n v="12355.41"/>
    <n v="8"/>
    <n v="55"/>
    <s v="UPI"/>
    <x v="0"/>
    <n v="30"/>
    <x v="1"/>
    <x v="1"/>
  </r>
  <r>
    <s v="CUST1273"/>
    <d v="2022-02-19T00:00:00"/>
    <m/>
    <n v="21"/>
    <s v="Female"/>
    <s v="Mumbai"/>
    <x v="1"/>
    <n v="29585.22"/>
    <n v="28"/>
    <n v="94"/>
    <s v="Card"/>
    <x v="0"/>
    <n v="48"/>
    <x v="2"/>
    <x v="0"/>
  </r>
  <r>
    <s v="CUST1274"/>
    <d v="2024-04-09T00:00:00"/>
    <d v="2024-05-09T00:00:00"/>
    <n v="37"/>
    <s v="Male"/>
    <s v="Bangalore"/>
    <x v="2"/>
    <n v="14093.48"/>
    <n v="13"/>
    <n v="54"/>
    <s v="Card"/>
    <x v="1"/>
    <n v="1"/>
    <x v="1"/>
    <x v="2"/>
  </r>
  <r>
    <s v="CUST1275"/>
    <d v="2023-01-02T00:00:00"/>
    <d v="2023-11-19T00:00:00"/>
    <n v="29"/>
    <s v="Female"/>
    <s v="Kolkata"/>
    <x v="2"/>
    <n v="7013.01"/>
    <n v="1"/>
    <n v="12"/>
    <s v="Card"/>
    <x v="1"/>
    <n v="10"/>
    <x v="0"/>
    <x v="3"/>
  </r>
  <r>
    <s v="CUST1276"/>
    <d v="2023-05-06T00:00:00"/>
    <d v="2023-07-04T00:00:00"/>
    <n v="48"/>
    <s v="Female"/>
    <s v="Kolkata"/>
    <x v="1"/>
    <n v="3244.58"/>
    <n v="4"/>
    <n v="11"/>
    <s v="Card"/>
    <x v="1"/>
    <n v="1"/>
    <x v="0"/>
    <x v="1"/>
  </r>
  <r>
    <s v="CUST1277"/>
    <d v="2023-03-13T00:00:00"/>
    <d v="2023-12-13T00:00:00"/>
    <n v="54"/>
    <s v="Male"/>
    <s v="Hyderabad"/>
    <x v="1"/>
    <n v="5961.16"/>
    <n v="2"/>
    <n v="34"/>
    <s v="PayPal"/>
    <x v="1"/>
    <n v="9"/>
    <x v="0"/>
    <x v="1"/>
  </r>
  <r>
    <s v="CUST1278"/>
    <d v="2024-01-06T00:00:00"/>
    <m/>
    <n v="34"/>
    <s v="Female"/>
    <s v="Pune"/>
    <x v="1"/>
    <n v="12323.64"/>
    <n v="11"/>
    <n v="51"/>
    <s v="Card"/>
    <x v="0"/>
    <n v="26"/>
    <x v="1"/>
    <x v="3"/>
  </r>
  <r>
    <s v="CUST1279"/>
    <d v="2023-10-10T00:00:00"/>
    <m/>
    <n v="20"/>
    <s v="Female"/>
    <s v="Bangalore"/>
    <x v="1"/>
    <n v="23110.21"/>
    <n v="19"/>
    <n v="71"/>
    <s v="PayPal"/>
    <x v="0"/>
    <n v="29"/>
    <x v="2"/>
    <x v="0"/>
  </r>
  <r>
    <s v="CUST1280"/>
    <d v="2022-04-03T00:00:00"/>
    <m/>
    <n v="28"/>
    <s v="Female"/>
    <s v="Mumbai"/>
    <x v="2"/>
    <n v="2269.2600000000002"/>
    <n v="4"/>
    <n v="30"/>
    <s v="UPI"/>
    <x v="0"/>
    <n v="47"/>
    <x v="0"/>
    <x v="3"/>
  </r>
  <r>
    <s v="CUST1281"/>
    <d v="2023-05-11T00:00:00"/>
    <m/>
    <n v="26"/>
    <s v="Female"/>
    <s v="Delhi"/>
    <x v="1"/>
    <n v="17020.55"/>
    <n v="26"/>
    <n v="93"/>
    <s v="Other"/>
    <x v="0"/>
    <n v="34"/>
    <x v="2"/>
    <x v="3"/>
  </r>
  <r>
    <s v="CUST1282"/>
    <d v="2024-04-06T00:00:00"/>
    <m/>
    <n v="58"/>
    <s v="Female"/>
    <s v="Delhi"/>
    <x v="0"/>
    <n v="6420.78"/>
    <n v="7"/>
    <n v="22"/>
    <s v="Card"/>
    <x v="0"/>
    <n v="23"/>
    <x v="0"/>
    <x v="1"/>
  </r>
  <r>
    <s v="CUST1283"/>
    <d v="2023-11-22T00:00:00"/>
    <m/>
    <n v="20"/>
    <s v="Female"/>
    <s v="Hyderabad"/>
    <x v="2"/>
    <n v="16360.69"/>
    <n v="23"/>
    <n v="81"/>
    <s v="Card"/>
    <x v="0"/>
    <n v="27"/>
    <x v="2"/>
    <x v="0"/>
  </r>
  <r>
    <s v="CUST1284"/>
    <d v="2023-11-20T00:00:00"/>
    <m/>
    <n v="49"/>
    <s v="Female"/>
    <s v="Pune"/>
    <x v="1"/>
    <n v="8214.17"/>
    <n v="13"/>
    <n v="64"/>
    <s v="Card"/>
    <x v="0"/>
    <n v="27"/>
    <x v="1"/>
    <x v="1"/>
  </r>
  <r>
    <s v="CUST1285"/>
    <d v="2024-04-26T00:00:00"/>
    <d v="2024-12-01T00:00:00"/>
    <n v="23"/>
    <s v="Male"/>
    <s v="Bangalore"/>
    <x v="2"/>
    <n v="4988.46"/>
    <n v="4"/>
    <n v="12"/>
    <s v="UPI"/>
    <x v="1"/>
    <n v="7"/>
    <x v="0"/>
    <x v="0"/>
  </r>
  <r>
    <s v="CUST1286"/>
    <d v="2023-07-14T00:00:00"/>
    <m/>
    <n v="24"/>
    <s v="Female"/>
    <s v="Delhi"/>
    <x v="1"/>
    <n v="29869.05"/>
    <n v="29"/>
    <n v="74"/>
    <s v="Card"/>
    <x v="0"/>
    <n v="32"/>
    <x v="2"/>
    <x v="0"/>
  </r>
  <r>
    <s v="CUST1287"/>
    <d v="2023-10-01T00:00:00"/>
    <m/>
    <n v="26"/>
    <s v="Male"/>
    <s v="Pune"/>
    <x v="0"/>
    <n v="5300.84"/>
    <n v="6"/>
    <n v="16"/>
    <s v="UPI"/>
    <x v="0"/>
    <n v="29"/>
    <x v="0"/>
    <x v="3"/>
  </r>
  <r>
    <s v="CUST1288"/>
    <d v="2023-04-07T00:00:00"/>
    <d v="2023-09-06T00:00:00"/>
    <n v="50"/>
    <s v="Male"/>
    <s v="Hyderabad"/>
    <x v="1"/>
    <n v="13893.79"/>
    <n v="12"/>
    <n v="55"/>
    <s v="Card"/>
    <x v="1"/>
    <n v="4"/>
    <x v="1"/>
    <x v="1"/>
  </r>
  <r>
    <s v="CUST1289"/>
    <d v="2022-07-31T00:00:00"/>
    <d v="2023-03-27T00:00:00"/>
    <n v="57"/>
    <s v="Female"/>
    <s v="Delhi"/>
    <x v="1"/>
    <n v="3834.34"/>
    <n v="5"/>
    <n v="28"/>
    <s v="Card"/>
    <x v="1"/>
    <n v="7"/>
    <x v="0"/>
    <x v="1"/>
  </r>
  <r>
    <s v="CUST1290"/>
    <d v="2022-04-16T00:00:00"/>
    <m/>
    <n v="37"/>
    <s v="Female"/>
    <s v="Bangalore"/>
    <x v="0"/>
    <n v="8176.77"/>
    <n v="7"/>
    <n v="53"/>
    <s v="PayPal"/>
    <x v="0"/>
    <n v="47"/>
    <x v="1"/>
    <x v="2"/>
  </r>
  <r>
    <s v="CUST1291"/>
    <d v="2022-03-19T00:00:00"/>
    <m/>
    <n v="57"/>
    <s v="Male"/>
    <s v="Bangalore"/>
    <x v="1"/>
    <n v="2764.17"/>
    <n v="4"/>
    <n v="39"/>
    <s v="UPI"/>
    <x v="0"/>
    <n v="47"/>
    <x v="0"/>
    <x v="1"/>
  </r>
  <r>
    <s v="CUST1292"/>
    <d v="2023-06-21T00:00:00"/>
    <m/>
    <n v="42"/>
    <s v="Male"/>
    <s v="Pune"/>
    <x v="0"/>
    <n v="4560.55"/>
    <n v="3"/>
    <n v="36"/>
    <s v="UPI"/>
    <x v="0"/>
    <n v="32"/>
    <x v="0"/>
    <x v="2"/>
  </r>
  <r>
    <s v="CUST1293"/>
    <d v="2022-03-09T00:00:00"/>
    <d v="2022-06-16T00:00:00"/>
    <n v="55"/>
    <s v="Female"/>
    <s v="Mumbai"/>
    <x v="1"/>
    <n v="3919.74"/>
    <n v="4"/>
    <n v="32"/>
    <s v="Other"/>
    <x v="1"/>
    <n v="3"/>
    <x v="0"/>
    <x v="1"/>
  </r>
  <r>
    <s v="CUST1294"/>
    <d v="2023-07-16T00:00:00"/>
    <m/>
    <n v="39"/>
    <s v="Male"/>
    <s v="Mumbai"/>
    <x v="1"/>
    <n v="12733.37"/>
    <n v="19"/>
    <n v="91"/>
    <s v="PayPal"/>
    <x v="0"/>
    <n v="32"/>
    <x v="2"/>
    <x v="2"/>
  </r>
  <r>
    <s v="CUST1295"/>
    <d v="2023-05-06T00:00:00"/>
    <m/>
    <n v="51"/>
    <s v="Female"/>
    <s v="Bangalore"/>
    <x v="1"/>
    <n v="14028.14"/>
    <n v="7"/>
    <n v="50"/>
    <s v="Card"/>
    <x v="0"/>
    <n v="34"/>
    <x v="1"/>
    <x v="1"/>
  </r>
  <r>
    <s v="CUST1296"/>
    <d v="2023-02-21T00:00:00"/>
    <m/>
    <n v="47"/>
    <s v="Female"/>
    <s v="Pune"/>
    <x v="0"/>
    <n v="29445.26"/>
    <n v="14"/>
    <n v="77"/>
    <s v="Card"/>
    <x v="0"/>
    <n v="36"/>
    <x v="2"/>
    <x v="1"/>
  </r>
  <r>
    <s v="CUST1297"/>
    <d v="2022-02-03T00:00:00"/>
    <m/>
    <n v="28"/>
    <s v="Male"/>
    <s v="Delhi"/>
    <x v="1"/>
    <n v="5645.79"/>
    <n v="9"/>
    <n v="64"/>
    <s v="Card"/>
    <x v="0"/>
    <n v="49"/>
    <x v="1"/>
    <x v="3"/>
  </r>
  <r>
    <s v="CUST1298"/>
    <d v="2022-11-28T00:00:00"/>
    <m/>
    <n v="37"/>
    <s v="Male"/>
    <s v="Hyderabad"/>
    <x v="1"/>
    <n v="2601.61"/>
    <n v="4"/>
    <n v="13"/>
    <s v="PayPal"/>
    <x v="0"/>
    <n v="39"/>
    <x v="0"/>
    <x v="2"/>
  </r>
  <r>
    <s v="CUST1299"/>
    <d v="2024-05-09T00:00:00"/>
    <m/>
    <n v="43"/>
    <s v="Male"/>
    <s v="Delhi"/>
    <x v="2"/>
    <n v="3818"/>
    <n v="3"/>
    <n v="23"/>
    <s v="Card"/>
    <x v="0"/>
    <n v="22"/>
    <x v="0"/>
    <x v="2"/>
  </r>
  <r>
    <s v="CUST1300"/>
    <d v="2022-03-10T00:00:00"/>
    <d v="2022-09-03T00:00:00"/>
    <n v="39"/>
    <s v="Male"/>
    <s v="Bangalore"/>
    <x v="1"/>
    <n v="9058.44"/>
    <n v="12"/>
    <n v="51"/>
    <s v="UPI"/>
    <x v="1"/>
    <n v="5"/>
    <x v="1"/>
    <x v="2"/>
  </r>
  <r>
    <s v="CUST1301"/>
    <d v="2022-08-19T00:00:00"/>
    <d v="2023-07-10T00:00:00"/>
    <n v="45"/>
    <s v="Female"/>
    <s v="Bangalore"/>
    <x v="1"/>
    <n v="14793"/>
    <n v="7"/>
    <n v="69"/>
    <s v="Card"/>
    <x v="1"/>
    <n v="10"/>
    <x v="1"/>
    <x v="1"/>
  </r>
  <r>
    <s v="CUST1302"/>
    <d v="2023-08-31T00:00:00"/>
    <m/>
    <n v="38"/>
    <s v="Other"/>
    <s v="Hyderabad"/>
    <x v="0"/>
    <n v="2743.6"/>
    <n v="7"/>
    <n v="15"/>
    <s v="Card"/>
    <x v="0"/>
    <n v="30"/>
    <x v="0"/>
    <x v="2"/>
  </r>
  <r>
    <s v="CUST1303"/>
    <d v="2023-09-30T00:00:00"/>
    <m/>
    <n v="41"/>
    <s v="Female"/>
    <s v="Pune"/>
    <x v="1"/>
    <n v="5702.91"/>
    <n v="9"/>
    <n v="69"/>
    <s v="Card"/>
    <x v="0"/>
    <n v="29"/>
    <x v="1"/>
    <x v="2"/>
  </r>
  <r>
    <s v="CUST1304"/>
    <d v="2024-02-03T00:00:00"/>
    <d v="2024-06-02T00:00:00"/>
    <n v="21"/>
    <s v="Female"/>
    <s v="Pune"/>
    <x v="2"/>
    <n v="10770.3"/>
    <n v="7"/>
    <n v="67"/>
    <s v="Card"/>
    <x v="1"/>
    <n v="3"/>
    <x v="1"/>
    <x v="0"/>
  </r>
  <r>
    <s v="CUST1305"/>
    <d v="2023-07-28T00:00:00"/>
    <d v="2024-01-11T00:00:00"/>
    <n v="44"/>
    <s v="Female"/>
    <s v="Pune"/>
    <x v="2"/>
    <n v="13525.65"/>
    <n v="12"/>
    <n v="44"/>
    <s v="PayPal"/>
    <x v="1"/>
    <n v="5"/>
    <x v="1"/>
    <x v="2"/>
  </r>
  <r>
    <s v="CUST1306"/>
    <d v="2024-05-12T00:00:00"/>
    <d v="2025-04-13T00:00:00"/>
    <n v="59"/>
    <s v="Female"/>
    <s v="Kolkata"/>
    <x v="0"/>
    <n v="6953.62"/>
    <n v="2"/>
    <n v="33"/>
    <s v="PayPal"/>
    <x v="1"/>
    <n v="11"/>
    <x v="0"/>
    <x v="1"/>
  </r>
  <r>
    <s v="CUST1307"/>
    <d v="2022-03-20T00:00:00"/>
    <m/>
    <n v="40"/>
    <s v="Female"/>
    <s v="Kolkata"/>
    <x v="1"/>
    <n v="7546.21"/>
    <n v="7"/>
    <n v="67"/>
    <s v="Card"/>
    <x v="0"/>
    <n v="47"/>
    <x v="1"/>
    <x v="2"/>
  </r>
  <r>
    <s v="CUST1308"/>
    <d v="2024-05-26T00:00:00"/>
    <d v="2024-09-14T00:00:00"/>
    <n v="56"/>
    <s v="Male"/>
    <s v="Pune"/>
    <x v="1"/>
    <n v="7431.56"/>
    <n v="3"/>
    <n v="24"/>
    <s v="Other"/>
    <x v="1"/>
    <n v="3"/>
    <x v="0"/>
    <x v="1"/>
  </r>
  <r>
    <s v="CUST1309"/>
    <d v="2023-03-04T00:00:00"/>
    <d v="2023-07-21T00:00:00"/>
    <n v="47"/>
    <s v="Female"/>
    <s v="Mumbai"/>
    <x v="1"/>
    <n v="3116.29"/>
    <n v="4"/>
    <n v="13"/>
    <s v="Card"/>
    <x v="1"/>
    <n v="4"/>
    <x v="0"/>
    <x v="1"/>
  </r>
  <r>
    <s v="CUST1310"/>
    <d v="2023-08-12T00:00:00"/>
    <d v="2023-12-24T00:00:00"/>
    <n v="44"/>
    <s v="Female"/>
    <s v="Delhi"/>
    <x v="1"/>
    <n v="3200.1"/>
    <n v="6"/>
    <n v="30"/>
    <s v="Card"/>
    <x v="1"/>
    <n v="4"/>
    <x v="0"/>
    <x v="2"/>
  </r>
  <r>
    <s v="CUST1311"/>
    <d v="2023-02-05T00:00:00"/>
    <m/>
    <n v="48"/>
    <s v="Female"/>
    <s v="Mumbai"/>
    <x v="2"/>
    <n v="14972.23"/>
    <n v="28"/>
    <n v="83"/>
    <s v="UPI"/>
    <x v="0"/>
    <n v="37"/>
    <x v="2"/>
    <x v="1"/>
  </r>
  <r>
    <s v="CUST1312"/>
    <d v="2023-01-05T00:00:00"/>
    <d v="2023-05-23T00:00:00"/>
    <n v="39"/>
    <s v="Male"/>
    <s v="Kolkata"/>
    <x v="0"/>
    <n v="22803.98"/>
    <n v="26"/>
    <n v="74"/>
    <s v="Card"/>
    <x v="1"/>
    <n v="4"/>
    <x v="2"/>
    <x v="2"/>
  </r>
  <r>
    <s v="CUST1313"/>
    <d v="2023-09-27T00:00:00"/>
    <d v="2024-02-04T00:00:00"/>
    <n v="27"/>
    <s v="Male"/>
    <s v="Delhi"/>
    <x v="1"/>
    <n v="3386.48"/>
    <n v="1"/>
    <n v="28"/>
    <s v="PayPal"/>
    <x v="1"/>
    <n v="4"/>
    <x v="0"/>
    <x v="3"/>
  </r>
  <r>
    <s v="CUST1314"/>
    <d v="2023-02-15T00:00:00"/>
    <m/>
    <n v="45"/>
    <s v="Male"/>
    <s v="Pune"/>
    <x v="2"/>
    <n v="5976.16"/>
    <n v="5"/>
    <n v="63"/>
    <s v="Card"/>
    <x v="0"/>
    <n v="37"/>
    <x v="1"/>
    <x v="1"/>
  </r>
  <r>
    <s v="CUST1315"/>
    <d v="2023-01-16T00:00:00"/>
    <m/>
    <n v="20"/>
    <s v="Female"/>
    <s v="Bangalore"/>
    <x v="1"/>
    <n v="8701.2000000000007"/>
    <n v="10"/>
    <n v="64"/>
    <s v="PayPal"/>
    <x v="0"/>
    <n v="38"/>
    <x v="1"/>
    <x v="0"/>
  </r>
  <r>
    <s v="CUST1316"/>
    <d v="2024-05-15T00:00:00"/>
    <d v="2025-02-22T00:00:00"/>
    <n v="57"/>
    <s v="Female"/>
    <s v="Mumbai"/>
    <x v="2"/>
    <n v="6125.53"/>
    <n v="2"/>
    <n v="23"/>
    <s v="Card"/>
    <x v="1"/>
    <n v="9"/>
    <x v="0"/>
    <x v="1"/>
  </r>
  <r>
    <s v="CUST1317"/>
    <d v="2023-06-05T00:00:00"/>
    <m/>
    <n v="41"/>
    <s v="Female"/>
    <s v="Kolkata"/>
    <x v="1"/>
    <n v="21649.08"/>
    <n v="20"/>
    <n v="84"/>
    <s v="UPI"/>
    <x v="0"/>
    <n v="33"/>
    <x v="2"/>
    <x v="2"/>
  </r>
  <r>
    <s v="CUST1318"/>
    <d v="2023-11-24T00:00:00"/>
    <d v="2024-06-13T00:00:00"/>
    <n v="29"/>
    <s v="Male"/>
    <s v="Delhi"/>
    <x v="1"/>
    <n v="2501.4"/>
    <n v="7"/>
    <n v="23"/>
    <s v="Card"/>
    <x v="1"/>
    <n v="6"/>
    <x v="0"/>
    <x v="3"/>
  </r>
  <r>
    <s v="CUST1319"/>
    <d v="2023-08-30T00:00:00"/>
    <d v="2024-06-28T00:00:00"/>
    <n v="53"/>
    <s v="Female"/>
    <s v="Bangalore"/>
    <x v="1"/>
    <n v="6180.44"/>
    <n v="6"/>
    <n v="28"/>
    <s v="PayPal"/>
    <x v="1"/>
    <n v="9"/>
    <x v="0"/>
    <x v="1"/>
  </r>
  <r>
    <s v="CUST1320"/>
    <d v="2024-05-15T00:00:00"/>
    <m/>
    <n v="36"/>
    <s v="Male"/>
    <s v="Delhi"/>
    <x v="1"/>
    <n v="7168.01"/>
    <n v="2"/>
    <n v="38"/>
    <s v="PayPal"/>
    <x v="0"/>
    <n v="22"/>
    <x v="0"/>
    <x v="2"/>
  </r>
  <r>
    <s v="CUST1321"/>
    <d v="2023-12-21T00:00:00"/>
    <m/>
    <n v="49"/>
    <s v="Female"/>
    <s v="Delhi"/>
    <x v="1"/>
    <n v="10412.59"/>
    <n v="5"/>
    <n v="49"/>
    <s v="UPI"/>
    <x v="0"/>
    <n v="26"/>
    <x v="1"/>
    <x v="1"/>
  </r>
  <r>
    <s v="CUST1322"/>
    <d v="2023-02-11T00:00:00"/>
    <m/>
    <n v="50"/>
    <s v="Male"/>
    <s v="Hyderabad"/>
    <x v="0"/>
    <n v="9746.25"/>
    <n v="12"/>
    <n v="59"/>
    <s v="PayPal"/>
    <x v="0"/>
    <n v="37"/>
    <x v="1"/>
    <x v="1"/>
  </r>
  <r>
    <s v="CUST1323"/>
    <d v="2022-07-04T00:00:00"/>
    <d v="2022-12-26T00:00:00"/>
    <n v="33"/>
    <s v="Female"/>
    <s v="Mumbai"/>
    <x v="1"/>
    <n v="5640.21"/>
    <n v="6"/>
    <n v="37"/>
    <s v="PayPal"/>
    <x v="1"/>
    <n v="5"/>
    <x v="0"/>
    <x v="3"/>
  </r>
  <r>
    <s v="CUST1324"/>
    <d v="2022-07-01T00:00:00"/>
    <m/>
    <n v="54"/>
    <s v="Male"/>
    <s v="Delhi"/>
    <x v="2"/>
    <n v="9361.67"/>
    <n v="12"/>
    <n v="63"/>
    <s v="PayPal"/>
    <x v="0"/>
    <n v="44"/>
    <x v="1"/>
    <x v="1"/>
  </r>
  <r>
    <s v="CUST1325"/>
    <d v="2023-07-01T00:00:00"/>
    <m/>
    <n v="48"/>
    <s v="Female"/>
    <s v="Pune"/>
    <x v="1"/>
    <n v="15474.72"/>
    <n v="19"/>
    <n v="96"/>
    <s v="UPI"/>
    <x v="0"/>
    <n v="32"/>
    <x v="2"/>
    <x v="1"/>
  </r>
  <r>
    <s v="CUST1326"/>
    <d v="2024-02-20T00:00:00"/>
    <d v="2024-05-06T00:00:00"/>
    <n v="33"/>
    <s v="Male"/>
    <s v="Delhi"/>
    <x v="1"/>
    <n v="3712.95"/>
    <n v="1"/>
    <n v="38"/>
    <s v="Other"/>
    <x v="1"/>
    <n v="2"/>
    <x v="0"/>
    <x v="3"/>
  </r>
  <r>
    <s v="CUST1327"/>
    <d v="2022-09-18T00:00:00"/>
    <m/>
    <n v="33"/>
    <s v="Male"/>
    <s v="Hyderabad"/>
    <x v="0"/>
    <n v="2971.28"/>
    <n v="2"/>
    <n v="16"/>
    <s v="UPI"/>
    <x v="0"/>
    <n v="41"/>
    <x v="0"/>
    <x v="3"/>
  </r>
  <r>
    <s v="CUST1328"/>
    <d v="2022-02-14T00:00:00"/>
    <m/>
    <n v="29"/>
    <s v="Male"/>
    <s v="Kolkata"/>
    <x v="2"/>
    <n v="20130.45"/>
    <n v="18"/>
    <n v="89"/>
    <s v="UPI"/>
    <x v="0"/>
    <n v="49"/>
    <x v="2"/>
    <x v="3"/>
  </r>
  <r>
    <s v="CUST1329"/>
    <d v="2022-11-08T00:00:00"/>
    <m/>
    <n v="27"/>
    <s v="Other"/>
    <s v="Hyderabad"/>
    <x v="2"/>
    <n v="7289.96"/>
    <n v="4"/>
    <n v="33"/>
    <s v="UPI"/>
    <x v="0"/>
    <n v="40"/>
    <x v="0"/>
    <x v="3"/>
  </r>
  <r>
    <s v="CUST1330"/>
    <d v="2022-10-04T00:00:00"/>
    <d v="2023-09-05T00:00:00"/>
    <n v="53"/>
    <s v="Female"/>
    <s v="Kolkata"/>
    <x v="1"/>
    <n v="14907.06"/>
    <n v="7"/>
    <n v="51"/>
    <s v="Other"/>
    <x v="1"/>
    <n v="11"/>
    <x v="1"/>
    <x v="1"/>
  </r>
  <r>
    <s v="CUST1331"/>
    <d v="2024-03-22T00:00:00"/>
    <m/>
    <n v="34"/>
    <s v="Male"/>
    <s v="Bangalore"/>
    <x v="1"/>
    <n v="15372.3"/>
    <n v="16"/>
    <n v="81"/>
    <s v="Card"/>
    <x v="0"/>
    <n v="23"/>
    <x v="2"/>
    <x v="3"/>
  </r>
  <r>
    <s v="CUST1332"/>
    <d v="2023-03-10T00:00:00"/>
    <m/>
    <n v="50"/>
    <s v="Male"/>
    <s v="Bangalore"/>
    <x v="2"/>
    <n v="14886.12"/>
    <n v="9"/>
    <n v="69"/>
    <s v="UPI"/>
    <x v="0"/>
    <n v="36"/>
    <x v="1"/>
    <x v="1"/>
  </r>
  <r>
    <s v="CUST1333"/>
    <d v="2022-10-02T00:00:00"/>
    <d v="2023-06-10T00:00:00"/>
    <n v="30"/>
    <s v="Male"/>
    <s v="Pune"/>
    <x v="1"/>
    <n v="17138.21"/>
    <n v="14"/>
    <n v="70"/>
    <s v="Card"/>
    <x v="1"/>
    <n v="8"/>
    <x v="1"/>
    <x v="3"/>
  </r>
  <r>
    <s v="CUST1334"/>
    <d v="2022-07-04T00:00:00"/>
    <m/>
    <n v="32"/>
    <s v="Male"/>
    <s v="Mumbai"/>
    <x v="2"/>
    <n v="24494.73"/>
    <n v="21"/>
    <n v="95"/>
    <s v="UPI"/>
    <x v="0"/>
    <n v="44"/>
    <x v="2"/>
    <x v="3"/>
  </r>
  <r>
    <s v="CUST1335"/>
    <d v="2023-10-24T00:00:00"/>
    <m/>
    <n v="29"/>
    <s v="Female"/>
    <s v="Hyderabad"/>
    <x v="2"/>
    <n v="2987.12"/>
    <n v="5"/>
    <n v="30"/>
    <s v="Card"/>
    <x v="0"/>
    <n v="28"/>
    <x v="0"/>
    <x v="3"/>
  </r>
  <r>
    <s v="CUST1336"/>
    <d v="2022-05-02T00:00:00"/>
    <m/>
    <n v="47"/>
    <s v="Female"/>
    <s v="Kolkata"/>
    <x v="0"/>
    <n v="6985.62"/>
    <n v="1"/>
    <n v="35"/>
    <s v="Card"/>
    <x v="0"/>
    <n v="46"/>
    <x v="0"/>
    <x v="1"/>
  </r>
  <r>
    <s v="CUST1337"/>
    <d v="2023-02-11T00:00:00"/>
    <m/>
    <n v="53"/>
    <s v="Male"/>
    <s v="Delhi"/>
    <x v="1"/>
    <n v="14793.67"/>
    <n v="10"/>
    <n v="43"/>
    <s v="UPI"/>
    <x v="0"/>
    <n v="37"/>
    <x v="1"/>
    <x v="1"/>
  </r>
  <r>
    <s v="CUST1338"/>
    <d v="2022-01-19T00:00:00"/>
    <m/>
    <n v="36"/>
    <s v="Male"/>
    <s v="Mumbai"/>
    <x v="1"/>
    <n v="12778.55"/>
    <n v="14"/>
    <n v="70"/>
    <s v="Card"/>
    <x v="0"/>
    <n v="49"/>
    <x v="1"/>
    <x v="2"/>
  </r>
  <r>
    <s v="CUST1339"/>
    <d v="2024-05-21T00:00:00"/>
    <m/>
    <n v="34"/>
    <s v="Female"/>
    <s v="Hyderabad"/>
    <x v="1"/>
    <n v="21208.83"/>
    <n v="20"/>
    <n v="70"/>
    <s v="UPI"/>
    <x v="0"/>
    <n v="21"/>
    <x v="1"/>
    <x v="3"/>
  </r>
  <r>
    <s v="CUST1340"/>
    <d v="2022-09-05T00:00:00"/>
    <m/>
    <n v="39"/>
    <s v="Male"/>
    <s v="Kolkata"/>
    <x v="2"/>
    <n v="20724.53"/>
    <n v="21"/>
    <n v="93"/>
    <s v="UPI"/>
    <x v="0"/>
    <n v="42"/>
    <x v="2"/>
    <x v="2"/>
  </r>
  <r>
    <s v="CUST1341"/>
    <d v="2022-01-06T00:00:00"/>
    <d v="2022-07-21T00:00:00"/>
    <n v="43"/>
    <s v="Male"/>
    <s v="Delhi"/>
    <x v="1"/>
    <n v="24908.21"/>
    <n v="13"/>
    <n v="82"/>
    <s v="Card"/>
    <x v="1"/>
    <n v="6"/>
    <x v="2"/>
    <x v="2"/>
  </r>
  <r>
    <s v="CUST1342"/>
    <d v="2023-10-08T00:00:00"/>
    <d v="2024-09-29T00:00:00"/>
    <n v="52"/>
    <s v="Male"/>
    <s v="Pune"/>
    <x v="2"/>
    <n v="2178.6799999999998"/>
    <n v="7"/>
    <n v="20"/>
    <s v="UPI"/>
    <x v="1"/>
    <n v="11"/>
    <x v="0"/>
    <x v="1"/>
  </r>
  <r>
    <s v="CUST1343"/>
    <d v="2024-04-18T00:00:00"/>
    <d v="2025-01-20T00:00:00"/>
    <n v="28"/>
    <s v="Female"/>
    <s v="Hyderabad"/>
    <x v="2"/>
    <n v="6487.27"/>
    <n v="7"/>
    <n v="41"/>
    <s v="Card"/>
    <x v="1"/>
    <n v="9"/>
    <x v="1"/>
    <x v="3"/>
  </r>
  <r>
    <s v="CUST1344"/>
    <d v="2023-04-25T00:00:00"/>
    <d v="2023-09-20T00:00:00"/>
    <n v="45"/>
    <s v="Male"/>
    <s v="Pune"/>
    <x v="1"/>
    <n v="7887.47"/>
    <n v="5"/>
    <n v="39"/>
    <s v="Card"/>
    <x v="1"/>
    <n v="4"/>
    <x v="0"/>
    <x v="1"/>
  </r>
  <r>
    <s v="CUST1345"/>
    <d v="2022-06-07T00:00:00"/>
    <m/>
    <n v="35"/>
    <s v="Other"/>
    <s v="Pune"/>
    <x v="2"/>
    <n v="13024.87"/>
    <n v="22"/>
    <n v="72"/>
    <s v="UPI"/>
    <x v="0"/>
    <n v="45"/>
    <x v="2"/>
    <x v="2"/>
  </r>
  <r>
    <s v="CUST1346"/>
    <d v="2023-02-05T00:00:00"/>
    <d v="2023-05-16T00:00:00"/>
    <n v="25"/>
    <s v="Female"/>
    <s v="Mumbai"/>
    <x v="1"/>
    <n v="13138.66"/>
    <n v="6"/>
    <n v="57"/>
    <s v="Card"/>
    <x v="1"/>
    <n v="3"/>
    <x v="1"/>
    <x v="3"/>
  </r>
  <r>
    <s v="CUST1347"/>
    <d v="2022-09-04T00:00:00"/>
    <m/>
    <n v="40"/>
    <s v="Male"/>
    <s v="Mumbai"/>
    <x v="2"/>
    <n v="10097.43"/>
    <n v="13"/>
    <n v="69"/>
    <s v="Card"/>
    <x v="0"/>
    <n v="42"/>
    <x v="1"/>
    <x v="2"/>
  </r>
  <r>
    <s v="CUST1348"/>
    <d v="2022-03-10T00:00:00"/>
    <m/>
    <n v="56"/>
    <s v="Male"/>
    <s v="Hyderabad"/>
    <x v="1"/>
    <n v="5910.62"/>
    <n v="2"/>
    <n v="19"/>
    <s v="Card"/>
    <x v="0"/>
    <n v="48"/>
    <x v="0"/>
    <x v="1"/>
  </r>
  <r>
    <s v="CUST1349"/>
    <d v="2022-08-27T00:00:00"/>
    <m/>
    <n v="45"/>
    <s v="Female"/>
    <s v="Mumbai"/>
    <x v="0"/>
    <n v="12694.79"/>
    <n v="29"/>
    <n v="96"/>
    <s v="UPI"/>
    <x v="0"/>
    <n v="42"/>
    <x v="2"/>
    <x v="1"/>
  </r>
  <r>
    <s v="CUST1350"/>
    <d v="2022-04-13T00:00:00"/>
    <d v="2022-10-25T00:00:00"/>
    <n v="21"/>
    <s v="Female"/>
    <s v="Hyderabad"/>
    <x v="1"/>
    <n v="14679.34"/>
    <n v="8"/>
    <n v="49"/>
    <s v="UPI"/>
    <x v="1"/>
    <n v="6"/>
    <x v="1"/>
    <x v="0"/>
  </r>
  <r>
    <s v="CUST1351"/>
    <d v="2023-12-19T00:00:00"/>
    <m/>
    <n v="31"/>
    <s v="Male"/>
    <s v="Hyderabad"/>
    <x v="1"/>
    <n v="13801.34"/>
    <n v="8"/>
    <n v="63"/>
    <s v="Card"/>
    <x v="0"/>
    <n v="26"/>
    <x v="1"/>
    <x v="3"/>
  </r>
  <r>
    <s v="CUST1352"/>
    <d v="2023-03-27T00:00:00"/>
    <m/>
    <n v="27"/>
    <s v="Female"/>
    <s v="Pune"/>
    <x v="1"/>
    <n v="29503.62"/>
    <n v="13"/>
    <n v="84"/>
    <s v="UPI"/>
    <x v="0"/>
    <n v="35"/>
    <x v="2"/>
    <x v="3"/>
  </r>
  <r>
    <s v="CUST1353"/>
    <d v="2024-04-02T00:00:00"/>
    <m/>
    <n v="43"/>
    <s v="Female"/>
    <s v="Bangalore"/>
    <x v="1"/>
    <n v="7960.38"/>
    <n v="11"/>
    <n v="51"/>
    <s v="Card"/>
    <x v="0"/>
    <n v="23"/>
    <x v="1"/>
    <x v="2"/>
  </r>
  <r>
    <s v="CUST1354"/>
    <d v="2022-03-30T00:00:00"/>
    <d v="2022-06-09T00:00:00"/>
    <n v="32"/>
    <s v="Female"/>
    <s v="Kolkata"/>
    <x v="1"/>
    <n v="3445.81"/>
    <n v="5"/>
    <n v="20"/>
    <s v="UPI"/>
    <x v="1"/>
    <n v="2"/>
    <x v="0"/>
    <x v="3"/>
  </r>
  <r>
    <s v="CUST1355"/>
    <d v="2022-04-02T00:00:00"/>
    <d v="2022-06-27T00:00:00"/>
    <n v="31"/>
    <s v="Female"/>
    <s v="Bangalore"/>
    <x v="0"/>
    <n v="4904.8599999999997"/>
    <n v="7"/>
    <n v="14"/>
    <s v="Card"/>
    <x v="1"/>
    <n v="2"/>
    <x v="0"/>
    <x v="3"/>
  </r>
  <r>
    <s v="CUST1356"/>
    <d v="2023-03-16T00:00:00"/>
    <d v="2023-10-05T00:00:00"/>
    <n v="59"/>
    <s v="Female"/>
    <s v="Hyderabad"/>
    <x v="2"/>
    <n v="5066.4799999999996"/>
    <n v="1"/>
    <n v="17"/>
    <s v="Card"/>
    <x v="1"/>
    <n v="6"/>
    <x v="0"/>
    <x v="1"/>
  </r>
  <r>
    <s v="CUST1357"/>
    <d v="2022-01-17T00:00:00"/>
    <m/>
    <n v="26"/>
    <s v="Female"/>
    <s v="Bangalore"/>
    <x v="1"/>
    <n v="21541.83"/>
    <n v="23"/>
    <n v="98"/>
    <s v="UPI"/>
    <x v="0"/>
    <n v="50"/>
    <x v="2"/>
    <x v="3"/>
  </r>
  <r>
    <s v="CUST1358"/>
    <d v="2023-05-10T00:00:00"/>
    <m/>
    <n v="58"/>
    <s v="Female"/>
    <s v="Hyderabad"/>
    <x v="2"/>
    <n v="6966.2"/>
    <n v="7"/>
    <n v="69"/>
    <s v="UPI"/>
    <x v="0"/>
    <n v="34"/>
    <x v="1"/>
    <x v="1"/>
  </r>
  <r>
    <s v="CUST1359"/>
    <d v="2023-01-16T00:00:00"/>
    <d v="2023-11-21T00:00:00"/>
    <n v="56"/>
    <s v="Female"/>
    <s v="Delhi"/>
    <x v="0"/>
    <n v="7484.55"/>
    <n v="7"/>
    <n v="18"/>
    <s v="Card"/>
    <x v="1"/>
    <n v="10"/>
    <x v="0"/>
    <x v="1"/>
  </r>
  <r>
    <s v="CUST1360"/>
    <d v="2023-10-08T00:00:00"/>
    <m/>
    <n v="38"/>
    <s v="Male"/>
    <s v="Bangalore"/>
    <x v="2"/>
    <n v="22213.33"/>
    <n v="25"/>
    <n v="86"/>
    <s v="Card"/>
    <x v="0"/>
    <n v="29"/>
    <x v="2"/>
    <x v="2"/>
  </r>
  <r>
    <s v="CUST1361"/>
    <d v="2022-04-15T00:00:00"/>
    <m/>
    <n v="48"/>
    <s v="Male"/>
    <s v="Delhi"/>
    <x v="1"/>
    <n v="10379.33"/>
    <n v="7"/>
    <n v="57"/>
    <s v="PayPal"/>
    <x v="0"/>
    <n v="47"/>
    <x v="1"/>
    <x v="1"/>
  </r>
  <r>
    <s v="CUST1362"/>
    <d v="2023-08-29T00:00:00"/>
    <m/>
    <n v="57"/>
    <s v="Other"/>
    <s v="Bangalore"/>
    <x v="2"/>
    <n v="2051.7600000000002"/>
    <n v="1"/>
    <n v="19"/>
    <s v="Card"/>
    <x v="0"/>
    <n v="30"/>
    <x v="0"/>
    <x v="1"/>
  </r>
  <r>
    <s v="CUST1363"/>
    <d v="2022-03-15T00:00:00"/>
    <d v="2023-01-14T00:00:00"/>
    <n v="38"/>
    <s v="Male"/>
    <s v="Hyderabad"/>
    <x v="2"/>
    <n v="6704.46"/>
    <n v="3"/>
    <n v="11"/>
    <s v="UPI"/>
    <x v="1"/>
    <n v="9"/>
    <x v="0"/>
    <x v="2"/>
  </r>
  <r>
    <s v="CUST1364"/>
    <d v="2023-03-05T00:00:00"/>
    <d v="2023-04-15T00:00:00"/>
    <n v="58"/>
    <s v="Female"/>
    <s v="Kolkata"/>
    <x v="2"/>
    <n v="3653.24"/>
    <n v="7"/>
    <n v="36"/>
    <s v="Card"/>
    <x v="1"/>
    <n v="1"/>
    <x v="0"/>
    <x v="1"/>
  </r>
  <r>
    <s v="CUST1365"/>
    <d v="2023-11-27T00:00:00"/>
    <m/>
    <n v="34"/>
    <s v="Male"/>
    <s v="Mumbai"/>
    <x v="1"/>
    <n v="12722.96"/>
    <n v="16"/>
    <n v="72"/>
    <s v="PayPal"/>
    <x v="0"/>
    <n v="27"/>
    <x v="2"/>
    <x v="3"/>
  </r>
  <r>
    <s v="CUST1366"/>
    <d v="2022-10-23T00:00:00"/>
    <m/>
    <n v="50"/>
    <s v="Male"/>
    <s v="Pune"/>
    <x v="1"/>
    <n v="13578.57"/>
    <n v="11"/>
    <n v="68"/>
    <s v="Other"/>
    <x v="0"/>
    <n v="40"/>
    <x v="1"/>
    <x v="1"/>
  </r>
  <r>
    <s v="CUST1367"/>
    <d v="2022-07-26T00:00:00"/>
    <m/>
    <n v="43"/>
    <s v="Female"/>
    <s v="Mumbai"/>
    <x v="1"/>
    <n v="12876.23"/>
    <n v="5"/>
    <n v="51"/>
    <s v="Card"/>
    <x v="0"/>
    <n v="43"/>
    <x v="1"/>
    <x v="2"/>
  </r>
  <r>
    <s v="CUST1368"/>
    <d v="2022-07-10T00:00:00"/>
    <d v="2023-06-08T00:00:00"/>
    <n v="21"/>
    <s v="Male"/>
    <s v="Pune"/>
    <x v="1"/>
    <n v="2048.8200000000002"/>
    <n v="3"/>
    <n v="35"/>
    <s v="Card"/>
    <x v="1"/>
    <n v="10"/>
    <x v="0"/>
    <x v="0"/>
  </r>
  <r>
    <s v="CUST1369"/>
    <d v="2023-01-22T00:00:00"/>
    <m/>
    <n v="39"/>
    <s v="Female"/>
    <s v="Delhi"/>
    <x v="2"/>
    <n v="7187.45"/>
    <n v="7"/>
    <n v="21"/>
    <s v="Card"/>
    <x v="0"/>
    <n v="37"/>
    <x v="0"/>
    <x v="2"/>
  </r>
  <r>
    <s v="CUST1370"/>
    <d v="2023-07-04T00:00:00"/>
    <m/>
    <n v="23"/>
    <s v="Other"/>
    <s v="Bangalore"/>
    <x v="1"/>
    <n v="2980.97"/>
    <n v="4"/>
    <n v="26"/>
    <s v="Card"/>
    <x v="0"/>
    <n v="32"/>
    <x v="0"/>
    <x v="0"/>
  </r>
  <r>
    <s v="CUST1371"/>
    <d v="2022-12-09T00:00:00"/>
    <d v="2023-07-17T00:00:00"/>
    <n v="51"/>
    <s v="Male"/>
    <s v="Delhi"/>
    <x v="2"/>
    <n v="23995.68"/>
    <n v="15"/>
    <n v="74"/>
    <s v="PayPal"/>
    <x v="1"/>
    <n v="7"/>
    <x v="2"/>
    <x v="1"/>
  </r>
  <r>
    <s v="CUST1372"/>
    <d v="2022-08-30T00:00:00"/>
    <d v="2022-11-23T00:00:00"/>
    <n v="26"/>
    <s v="Male"/>
    <s v="Kolkata"/>
    <x v="1"/>
    <n v="2339.65"/>
    <n v="5"/>
    <n v="38"/>
    <s v="UPI"/>
    <x v="1"/>
    <n v="2"/>
    <x v="0"/>
    <x v="3"/>
  </r>
  <r>
    <s v="CUST1373"/>
    <d v="2024-03-25T00:00:00"/>
    <d v="2024-05-30T00:00:00"/>
    <n v="47"/>
    <s v="Male"/>
    <s v="Bangalore"/>
    <x v="1"/>
    <n v="19802.36"/>
    <n v="25"/>
    <n v="97"/>
    <s v="Card"/>
    <x v="1"/>
    <n v="2"/>
    <x v="2"/>
    <x v="1"/>
  </r>
  <r>
    <s v="CUST1374"/>
    <d v="2022-09-23T00:00:00"/>
    <m/>
    <n v="31"/>
    <s v="Male"/>
    <s v="Mumbai"/>
    <x v="1"/>
    <n v="5953.51"/>
    <n v="9"/>
    <n v="69"/>
    <s v="Other"/>
    <x v="0"/>
    <n v="41"/>
    <x v="1"/>
    <x v="3"/>
  </r>
  <r>
    <s v="CUST1375"/>
    <d v="2023-11-07T00:00:00"/>
    <m/>
    <n v="57"/>
    <s v="Female"/>
    <s v="Kolkata"/>
    <x v="0"/>
    <n v="5648.01"/>
    <n v="7"/>
    <n v="50"/>
    <s v="UPI"/>
    <x v="0"/>
    <n v="28"/>
    <x v="1"/>
    <x v="1"/>
  </r>
  <r>
    <s v="CUST1376"/>
    <d v="2023-06-12T00:00:00"/>
    <m/>
    <n v="56"/>
    <s v="Male"/>
    <s v="Hyderabad"/>
    <x v="0"/>
    <n v="22326.75"/>
    <n v="15"/>
    <n v="92"/>
    <s v="Card"/>
    <x v="0"/>
    <n v="33"/>
    <x v="2"/>
    <x v="1"/>
  </r>
  <r>
    <s v="CUST1377"/>
    <d v="2023-11-04T00:00:00"/>
    <d v="2024-08-25T00:00:00"/>
    <n v="47"/>
    <s v="Male"/>
    <s v="Kolkata"/>
    <x v="1"/>
    <n v="6389.23"/>
    <n v="4"/>
    <n v="15"/>
    <s v="Card"/>
    <x v="1"/>
    <n v="9"/>
    <x v="0"/>
    <x v="1"/>
  </r>
  <r>
    <s v="CUST1378"/>
    <d v="2024-05-17T00:00:00"/>
    <m/>
    <n v="51"/>
    <s v="Male"/>
    <s v="Bangalore"/>
    <x v="1"/>
    <n v="6001.97"/>
    <n v="3"/>
    <n v="34"/>
    <s v="Card"/>
    <x v="0"/>
    <n v="22"/>
    <x v="0"/>
    <x v="1"/>
  </r>
  <r>
    <s v="CUST1379"/>
    <d v="2022-07-18T00:00:00"/>
    <m/>
    <n v="30"/>
    <s v="Female"/>
    <s v="Pune"/>
    <x v="1"/>
    <n v="26872.82"/>
    <n v="20"/>
    <n v="76"/>
    <s v="PayPal"/>
    <x v="0"/>
    <n v="43"/>
    <x v="2"/>
    <x v="3"/>
  </r>
  <r>
    <s v="CUST1380"/>
    <d v="2023-04-14T00:00:00"/>
    <d v="2024-02-06T00:00:00"/>
    <n v="58"/>
    <s v="Female"/>
    <s v="Bangalore"/>
    <x v="1"/>
    <n v="7464.67"/>
    <n v="6"/>
    <n v="20"/>
    <s v="Card"/>
    <x v="1"/>
    <n v="9"/>
    <x v="0"/>
    <x v="1"/>
  </r>
  <r>
    <s v="CUST1381"/>
    <d v="2024-06-15T00:00:00"/>
    <d v="2024-10-31T00:00:00"/>
    <n v="29"/>
    <s v="Female"/>
    <s v="Mumbai"/>
    <x v="0"/>
    <n v="6509.32"/>
    <n v="1"/>
    <n v="13"/>
    <s v="UPI"/>
    <x v="1"/>
    <n v="4"/>
    <x v="0"/>
    <x v="3"/>
  </r>
  <r>
    <s v="CUST1382"/>
    <d v="2022-08-01T00:00:00"/>
    <d v="2023-05-18T00:00:00"/>
    <n v="19"/>
    <s v="Female"/>
    <s v="Delhi"/>
    <x v="2"/>
    <n v="5815.74"/>
    <n v="6"/>
    <n v="22"/>
    <s v="PayPal"/>
    <x v="1"/>
    <n v="9"/>
    <x v="0"/>
    <x v="0"/>
  </r>
  <r>
    <s v="CUST1383"/>
    <d v="2023-06-30T00:00:00"/>
    <m/>
    <n v="39"/>
    <s v="Male"/>
    <s v="Kolkata"/>
    <x v="1"/>
    <n v="8326.52"/>
    <n v="13"/>
    <n v="60"/>
    <s v="UPI"/>
    <x v="0"/>
    <n v="32"/>
    <x v="1"/>
    <x v="2"/>
  </r>
  <r>
    <s v="CUST1384"/>
    <d v="2023-06-18T00:00:00"/>
    <m/>
    <n v="45"/>
    <s v="Female"/>
    <s v="Hyderabad"/>
    <x v="2"/>
    <n v="5977.48"/>
    <n v="7"/>
    <n v="29"/>
    <s v="Card"/>
    <x v="0"/>
    <n v="32"/>
    <x v="0"/>
    <x v="1"/>
  </r>
  <r>
    <s v="CUST1385"/>
    <d v="2024-04-14T00:00:00"/>
    <d v="2025-03-21T00:00:00"/>
    <n v="59"/>
    <s v="Female"/>
    <s v="Kolkata"/>
    <x v="2"/>
    <n v="6301.43"/>
    <n v="3"/>
    <n v="19"/>
    <s v="Card"/>
    <x v="1"/>
    <n v="11"/>
    <x v="0"/>
    <x v="1"/>
  </r>
  <r>
    <s v="CUST1386"/>
    <d v="2022-09-25T00:00:00"/>
    <d v="2023-07-22T00:00:00"/>
    <n v="46"/>
    <s v="Female"/>
    <s v="Mumbai"/>
    <x v="0"/>
    <n v="13872.08"/>
    <n v="5"/>
    <n v="54"/>
    <s v="Card"/>
    <x v="1"/>
    <n v="9"/>
    <x v="1"/>
    <x v="1"/>
  </r>
  <r>
    <s v="CUST1387"/>
    <d v="2022-10-31T00:00:00"/>
    <m/>
    <n v="51"/>
    <s v="Male"/>
    <s v="Delhi"/>
    <x v="0"/>
    <n v="13866.76"/>
    <n v="10"/>
    <n v="53"/>
    <s v="UPI"/>
    <x v="0"/>
    <n v="40"/>
    <x v="1"/>
    <x v="1"/>
  </r>
  <r>
    <s v="CUST1388"/>
    <d v="2022-05-20T00:00:00"/>
    <m/>
    <n v="19"/>
    <s v="Female"/>
    <s v="Delhi"/>
    <x v="1"/>
    <n v="22276.77"/>
    <n v="17"/>
    <n v="74"/>
    <s v="UPI"/>
    <x v="0"/>
    <n v="45"/>
    <x v="2"/>
    <x v="0"/>
  </r>
  <r>
    <s v="CUST1389"/>
    <d v="2022-02-06T00:00:00"/>
    <d v="2022-09-11T00:00:00"/>
    <n v="30"/>
    <s v="Male"/>
    <s v="Kolkata"/>
    <x v="2"/>
    <n v="3838.86"/>
    <n v="7"/>
    <n v="12"/>
    <s v="Card"/>
    <x v="1"/>
    <n v="7"/>
    <x v="0"/>
    <x v="3"/>
  </r>
  <r>
    <s v="CUST1390"/>
    <d v="2023-04-02T00:00:00"/>
    <m/>
    <n v="43"/>
    <s v="Male"/>
    <s v="Kolkata"/>
    <x v="0"/>
    <n v="16336.43"/>
    <n v="15"/>
    <n v="81"/>
    <s v="Card"/>
    <x v="0"/>
    <n v="35"/>
    <x v="2"/>
    <x v="2"/>
  </r>
  <r>
    <s v="CUST1391"/>
    <d v="2024-01-20T00:00:00"/>
    <m/>
    <n v="24"/>
    <s v="Female"/>
    <s v="Pune"/>
    <x v="1"/>
    <n v="3532.59"/>
    <n v="6"/>
    <n v="35"/>
    <s v="Card"/>
    <x v="0"/>
    <n v="25"/>
    <x v="0"/>
    <x v="0"/>
  </r>
  <r>
    <s v="CUST1392"/>
    <d v="2023-11-15T00:00:00"/>
    <d v="2024-05-11T00:00:00"/>
    <n v="53"/>
    <s v="Male"/>
    <s v="Delhi"/>
    <x v="2"/>
    <n v="9707.4"/>
    <n v="5"/>
    <n v="67"/>
    <s v="Card"/>
    <x v="1"/>
    <n v="5"/>
    <x v="1"/>
    <x v="1"/>
  </r>
  <r>
    <s v="CUST1393"/>
    <d v="2024-02-05T00:00:00"/>
    <m/>
    <n v="28"/>
    <s v="Female"/>
    <s v="Mumbai"/>
    <x v="1"/>
    <n v="3456.49"/>
    <n v="2"/>
    <n v="20"/>
    <s v="UPI"/>
    <x v="0"/>
    <n v="25"/>
    <x v="0"/>
    <x v="3"/>
  </r>
  <r>
    <s v="CUST1394"/>
    <d v="2023-12-13T00:00:00"/>
    <d v="2024-05-01T00:00:00"/>
    <n v="43"/>
    <s v="Female"/>
    <s v="Pune"/>
    <x v="1"/>
    <n v="2547.1999999999998"/>
    <n v="1"/>
    <n v="39"/>
    <s v="UPI"/>
    <x v="1"/>
    <n v="4"/>
    <x v="0"/>
    <x v="2"/>
  </r>
  <r>
    <s v="CUST1395"/>
    <d v="2024-04-01T00:00:00"/>
    <m/>
    <n v="37"/>
    <s v="Female"/>
    <s v="Kolkata"/>
    <x v="1"/>
    <n v="6008.54"/>
    <n v="14"/>
    <n v="40"/>
    <s v="UPI"/>
    <x v="0"/>
    <n v="23"/>
    <x v="0"/>
    <x v="2"/>
  </r>
  <r>
    <s v="CUST1396"/>
    <d v="2024-02-15T00:00:00"/>
    <m/>
    <n v="40"/>
    <s v="Male"/>
    <s v="Mumbai"/>
    <x v="1"/>
    <n v="21427.9"/>
    <n v="29"/>
    <n v="80"/>
    <s v="UPI"/>
    <x v="0"/>
    <n v="25"/>
    <x v="2"/>
    <x v="2"/>
  </r>
  <r>
    <s v="CUST1397"/>
    <d v="2023-02-10T00:00:00"/>
    <m/>
    <n v="35"/>
    <s v="Male"/>
    <s v="Bangalore"/>
    <x v="1"/>
    <n v="4399.71"/>
    <n v="1"/>
    <n v="30"/>
    <s v="Card"/>
    <x v="0"/>
    <n v="37"/>
    <x v="0"/>
    <x v="2"/>
  </r>
  <r>
    <s v="CUST1398"/>
    <d v="2022-05-07T00:00:00"/>
    <m/>
    <n v="56"/>
    <s v="Female"/>
    <s v="Bangalore"/>
    <x v="1"/>
    <n v="12221.63"/>
    <n v="17"/>
    <n v="80"/>
    <s v="Card"/>
    <x v="0"/>
    <n v="46"/>
    <x v="2"/>
    <x v="1"/>
  </r>
  <r>
    <s v="CUST1399"/>
    <d v="2022-10-03T00:00:00"/>
    <d v="2023-03-05T00:00:00"/>
    <n v="47"/>
    <s v="Male"/>
    <s v="Hyderabad"/>
    <x v="2"/>
    <n v="5164.3999999999996"/>
    <n v="1"/>
    <n v="38"/>
    <s v="Card"/>
    <x v="1"/>
    <n v="5"/>
    <x v="0"/>
    <x v="1"/>
  </r>
  <r>
    <s v="CUST1400"/>
    <d v="2024-05-04T00:00:00"/>
    <m/>
    <n v="50"/>
    <s v="Female"/>
    <s v="Pune"/>
    <x v="2"/>
    <n v="7783.5"/>
    <n v="5"/>
    <n v="23"/>
    <s v="PayPal"/>
    <x v="0"/>
    <n v="22"/>
    <x v="0"/>
    <x v="1"/>
  </r>
  <r>
    <s v="CUST1401"/>
    <d v="2022-10-29T00:00:00"/>
    <m/>
    <n v="24"/>
    <s v="Female"/>
    <s v="Pune"/>
    <x v="2"/>
    <n v="9044.89"/>
    <n v="14"/>
    <n v="54"/>
    <s v="PayPal"/>
    <x v="0"/>
    <n v="40"/>
    <x v="1"/>
    <x v="0"/>
  </r>
  <r>
    <s v="CUST1402"/>
    <d v="2023-03-11T00:00:00"/>
    <m/>
    <n v="34"/>
    <s v="Female"/>
    <s v="Hyderabad"/>
    <x v="2"/>
    <n v="4794.5200000000004"/>
    <n v="1"/>
    <n v="23"/>
    <s v="Other"/>
    <x v="0"/>
    <n v="36"/>
    <x v="0"/>
    <x v="3"/>
  </r>
  <r>
    <s v="CUST1403"/>
    <d v="2022-08-16T00:00:00"/>
    <m/>
    <n v="31"/>
    <s v="Female"/>
    <s v="Hyderabad"/>
    <x v="2"/>
    <n v="14109.48"/>
    <n v="9"/>
    <n v="44"/>
    <s v="Card"/>
    <x v="0"/>
    <n v="43"/>
    <x v="1"/>
    <x v="3"/>
  </r>
  <r>
    <s v="CUST1404"/>
    <d v="2024-06-13T00:00:00"/>
    <d v="2025-06-06T00:00:00"/>
    <n v="32"/>
    <s v="Female"/>
    <s v="Delhi"/>
    <x v="1"/>
    <n v="2586.52"/>
    <n v="7"/>
    <n v="17"/>
    <s v="UPI"/>
    <x v="1"/>
    <n v="11"/>
    <x v="0"/>
    <x v="3"/>
  </r>
  <r>
    <s v="CUST1405"/>
    <d v="2024-04-29T00:00:00"/>
    <m/>
    <n v="19"/>
    <s v="Male"/>
    <s v="Hyderabad"/>
    <x v="2"/>
    <n v="13407.9"/>
    <n v="8"/>
    <n v="44"/>
    <s v="UPI"/>
    <x v="0"/>
    <n v="22"/>
    <x v="1"/>
    <x v="0"/>
  </r>
  <r>
    <s v="CUST1406"/>
    <d v="2023-06-30T00:00:00"/>
    <m/>
    <n v="48"/>
    <s v="Male"/>
    <s v="Pune"/>
    <x v="2"/>
    <n v="19912.54"/>
    <n v="25"/>
    <n v="81"/>
    <s v="UPI"/>
    <x v="0"/>
    <n v="32"/>
    <x v="2"/>
    <x v="1"/>
  </r>
  <r>
    <s v="CUST1407"/>
    <d v="2024-02-16T00:00:00"/>
    <m/>
    <n v="35"/>
    <s v="Male"/>
    <s v="Delhi"/>
    <x v="2"/>
    <n v="10845.51"/>
    <n v="10"/>
    <n v="52"/>
    <s v="PayPal"/>
    <x v="0"/>
    <n v="25"/>
    <x v="1"/>
    <x v="2"/>
  </r>
  <r>
    <s v="CUST1408"/>
    <d v="2024-06-03T00:00:00"/>
    <d v="2025-05-28T00:00:00"/>
    <n v="52"/>
    <s v="Female"/>
    <s v="Hyderabad"/>
    <x v="1"/>
    <n v="6949.21"/>
    <n v="5"/>
    <n v="20"/>
    <s v="Other"/>
    <x v="1"/>
    <n v="11"/>
    <x v="0"/>
    <x v="1"/>
  </r>
  <r>
    <s v="CUST1409"/>
    <d v="2023-12-21T00:00:00"/>
    <m/>
    <n v="51"/>
    <s v="Male"/>
    <s v="Mumbai"/>
    <x v="0"/>
    <n v="12217.93"/>
    <n v="22"/>
    <n v="92"/>
    <s v="Card"/>
    <x v="0"/>
    <n v="26"/>
    <x v="2"/>
    <x v="1"/>
  </r>
  <r>
    <s v="CUST1410"/>
    <d v="2024-02-26T00:00:00"/>
    <d v="2025-01-06T00:00:00"/>
    <n v="18"/>
    <s v="Female"/>
    <s v="Pune"/>
    <x v="1"/>
    <n v="4748.03"/>
    <n v="1"/>
    <n v="15"/>
    <s v="UPI"/>
    <x v="1"/>
    <n v="10"/>
    <x v="0"/>
    <x v="0"/>
  </r>
  <r>
    <s v="CUST1411"/>
    <d v="2023-03-20T00:00:00"/>
    <m/>
    <n v="37"/>
    <s v="Female"/>
    <s v="Hyderabad"/>
    <x v="1"/>
    <n v="6019.2"/>
    <n v="9"/>
    <n v="50"/>
    <s v="Card"/>
    <x v="0"/>
    <n v="35"/>
    <x v="1"/>
    <x v="2"/>
  </r>
  <r>
    <s v="CUST1412"/>
    <d v="2023-08-17T00:00:00"/>
    <m/>
    <n v="46"/>
    <s v="Female"/>
    <s v="Pune"/>
    <x v="2"/>
    <n v="11750.4"/>
    <n v="5"/>
    <n v="47"/>
    <s v="PayPal"/>
    <x v="0"/>
    <n v="31"/>
    <x v="1"/>
    <x v="1"/>
  </r>
  <r>
    <s v="CUST1413"/>
    <d v="2022-04-14T00:00:00"/>
    <m/>
    <n v="23"/>
    <s v="Male"/>
    <s v="Hyderabad"/>
    <x v="1"/>
    <n v="6424.51"/>
    <n v="7"/>
    <n v="24"/>
    <s v="PayPal"/>
    <x v="0"/>
    <n v="47"/>
    <x v="0"/>
    <x v="0"/>
  </r>
  <r>
    <s v="CUST1414"/>
    <d v="2024-06-15T00:00:00"/>
    <d v="2025-01-29T00:00:00"/>
    <n v="38"/>
    <s v="Male"/>
    <s v="Hyderabad"/>
    <x v="2"/>
    <n v="3916.7"/>
    <n v="1"/>
    <n v="29"/>
    <s v="PayPal"/>
    <x v="1"/>
    <n v="7"/>
    <x v="0"/>
    <x v="2"/>
  </r>
  <r>
    <s v="CUST1415"/>
    <d v="2023-08-08T00:00:00"/>
    <m/>
    <n v="37"/>
    <s v="Male"/>
    <s v="Delhi"/>
    <x v="1"/>
    <n v="14445.57"/>
    <n v="7"/>
    <n v="47"/>
    <s v="UPI"/>
    <x v="0"/>
    <n v="31"/>
    <x v="1"/>
    <x v="2"/>
  </r>
  <r>
    <s v="CUST1416"/>
    <d v="2022-06-02T00:00:00"/>
    <m/>
    <n v="58"/>
    <s v="Female"/>
    <s v="Kolkata"/>
    <x v="1"/>
    <n v="5878.39"/>
    <n v="7"/>
    <n v="10"/>
    <s v="PayPal"/>
    <x v="0"/>
    <n v="45"/>
    <x v="0"/>
    <x v="1"/>
  </r>
  <r>
    <s v="CUST1417"/>
    <d v="2022-09-26T00:00:00"/>
    <m/>
    <n v="19"/>
    <s v="Female"/>
    <s v="Hyderabad"/>
    <x v="0"/>
    <n v="12342.39"/>
    <n v="5"/>
    <n v="41"/>
    <s v="Card"/>
    <x v="0"/>
    <n v="41"/>
    <x v="1"/>
    <x v="0"/>
  </r>
  <r>
    <s v="CUST1418"/>
    <d v="2023-11-21T00:00:00"/>
    <m/>
    <n v="33"/>
    <s v="Male"/>
    <s v="Bangalore"/>
    <x v="2"/>
    <n v="11287.84"/>
    <n v="11"/>
    <n v="62"/>
    <s v="Card"/>
    <x v="0"/>
    <n v="27"/>
    <x v="1"/>
    <x v="3"/>
  </r>
  <r>
    <s v="CUST1419"/>
    <d v="2022-08-15T00:00:00"/>
    <m/>
    <n v="33"/>
    <s v="Female"/>
    <s v="Hyderabad"/>
    <x v="1"/>
    <n v="13611.44"/>
    <n v="22"/>
    <n v="74"/>
    <s v="Card"/>
    <x v="0"/>
    <n v="43"/>
    <x v="2"/>
    <x v="3"/>
  </r>
  <r>
    <s v="CUST1420"/>
    <d v="2022-07-15T00:00:00"/>
    <m/>
    <n v="35"/>
    <s v="Male"/>
    <s v="Bangalore"/>
    <x v="0"/>
    <n v="7001.58"/>
    <n v="8"/>
    <n v="51"/>
    <s v="UPI"/>
    <x v="0"/>
    <n v="44"/>
    <x v="1"/>
    <x v="2"/>
  </r>
  <r>
    <s v="CUST1421"/>
    <d v="2022-05-05T00:00:00"/>
    <m/>
    <n v="27"/>
    <s v="Female"/>
    <s v="Kolkata"/>
    <x v="1"/>
    <n v="12645.25"/>
    <n v="13"/>
    <n v="68"/>
    <s v="PayPal"/>
    <x v="0"/>
    <n v="46"/>
    <x v="1"/>
    <x v="3"/>
  </r>
  <r>
    <s v="CUST1422"/>
    <d v="2023-09-01T00:00:00"/>
    <d v="2024-05-29T00:00:00"/>
    <n v="43"/>
    <s v="Male"/>
    <s v="Pune"/>
    <x v="2"/>
    <n v="7628.56"/>
    <n v="4"/>
    <n v="23"/>
    <s v="PayPal"/>
    <x v="1"/>
    <n v="8"/>
    <x v="0"/>
    <x v="2"/>
  </r>
  <r>
    <s v="CUST1423"/>
    <d v="2024-01-01T00:00:00"/>
    <m/>
    <n v="51"/>
    <s v="Male"/>
    <s v="Bangalore"/>
    <x v="0"/>
    <n v="25565.29"/>
    <n v="27"/>
    <n v="87"/>
    <s v="Card"/>
    <x v="0"/>
    <n v="26"/>
    <x v="2"/>
    <x v="1"/>
  </r>
  <r>
    <s v="CUST1424"/>
    <d v="2022-12-04T00:00:00"/>
    <d v="2023-11-29T00:00:00"/>
    <n v="20"/>
    <s v="Female"/>
    <s v="Hyderabad"/>
    <x v="2"/>
    <n v="4458.2700000000004"/>
    <n v="1"/>
    <n v="37"/>
    <s v="UPI"/>
    <x v="1"/>
    <n v="11"/>
    <x v="0"/>
    <x v="0"/>
  </r>
  <r>
    <s v="CUST1425"/>
    <d v="2023-12-17T00:00:00"/>
    <d v="2024-10-17T00:00:00"/>
    <n v="56"/>
    <s v="Male"/>
    <s v="Kolkata"/>
    <x v="1"/>
    <n v="14114.65"/>
    <n v="9"/>
    <n v="64"/>
    <s v="UPI"/>
    <x v="1"/>
    <n v="10"/>
    <x v="1"/>
    <x v="1"/>
  </r>
  <r>
    <s v="CUST1426"/>
    <d v="2022-05-10T00:00:00"/>
    <d v="2022-12-31T00:00:00"/>
    <n v="18"/>
    <s v="Female"/>
    <s v="Pune"/>
    <x v="0"/>
    <n v="14950.33"/>
    <n v="10"/>
    <n v="63"/>
    <s v="Card"/>
    <x v="1"/>
    <n v="7"/>
    <x v="1"/>
    <x v="0"/>
  </r>
  <r>
    <s v="CUST1427"/>
    <d v="2024-03-16T00:00:00"/>
    <d v="2024-05-02T00:00:00"/>
    <n v="46"/>
    <s v="Female"/>
    <s v="Mumbai"/>
    <x v="2"/>
    <n v="6446.53"/>
    <n v="4"/>
    <n v="10"/>
    <s v="UPI"/>
    <x v="1"/>
    <n v="1"/>
    <x v="0"/>
    <x v="1"/>
  </r>
  <r>
    <s v="CUST1428"/>
    <d v="2024-03-16T00:00:00"/>
    <d v="2025-02-01T00:00:00"/>
    <n v="18"/>
    <s v="Male"/>
    <s v="Pune"/>
    <x v="1"/>
    <n v="14882.91"/>
    <n v="12"/>
    <n v="43"/>
    <s v="UPI"/>
    <x v="1"/>
    <n v="10"/>
    <x v="1"/>
    <x v="0"/>
  </r>
  <r>
    <s v="CUST1429"/>
    <d v="2023-05-12T00:00:00"/>
    <d v="2023-11-15T00:00:00"/>
    <n v="26"/>
    <s v="Female"/>
    <s v="Hyderabad"/>
    <x v="0"/>
    <n v="2282.91"/>
    <n v="7"/>
    <n v="23"/>
    <s v="Card"/>
    <x v="1"/>
    <n v="6"/>
    <x v="0"/>
    <x v="3"/>
  </r>
  <r>
    <s v="CUST1430"/>
    <d v="2024-05-09T00:00:00"/>
    <m/>
    <n v="24"/>
    <s v="Male"/>
    <s v="Hyderabad"/>
    <x v="2"/>
    <n v="4947.09"/>
    <n v="7"/>
    <n v="25"/>
    <s v="PayPal"/>
    <x v="0"/>
    <n v="22"/>
    <x v="0"/>
    <x v="0"/>
  </r>
  <r>
    <s v="CUST1431"/>
    <d v="2023-12-25T00:00:00"/>
    <m/>
    <n v="46"/>
    <s v="Male"/>
    <s v="Bangalore"/>
    <x v="1"/>
    <n v="6216.51"/>
    <n v="11"/>
    <n v="55"/>
    <s v="Card"/>
    <x v="0"/>
    <n v="26"/>
    <x v="1"/>
    <x v="1"/>
  </r>
  <r>
    <s v="CUST1432"/>
    <d v="2023-07-10T00:00:00"/>
    <m/>
    <n v="46"/>
    <s v="Male"/>
    <s v="Delhi"/>
    <x v="1"/>
    <n v="26230.31"/>
    <n v="20"/>
    <n v="99"/>
    <s v="Card"/>
    <x v="0"/>
    <n v="32"/>
    <x v="2"/>
    <x v="1"/>
  </r>
  <r>
    <s v="CUST1433"/>
    <d v="2022-06-28T00:00:00"/>
    <d v="2023-04-20T00:00:00"/>
    <n v="50"/>
    <s v="Male"/>
    <s v="Mumbai"/>
    <x v="1"/>
    <n v="2855.6"/>
    <n v="2"/>
    <n v="28"/>
    <s v="Card"/>
    <x v="1"/>
    <n v="9"/>
    <x v="0"/>
    <x v="1"/>
  </r>
  <r>
    <s v="CUST1434"/>
    <d v="2024-05-02T00:00:00"/>
    <d v="2024-11-03T00:00:00"/>
    <n v="35"/>
    <s v="Female"/>
    <s v="Pune"/>
    <x v="2"/>
    <n v="5923.24"/>
    <n v="11"/>
    <n v="62"/>
    <s v="UPI"/>
    <x v="1"/>
    <n v="6"/>
    <x v="1"/>
    <x v="2"/>
  </r>
  <r>
    <s v="CUST1435"/>
    <d v="2022-07-14T00:00:00"/>
    <m/>
    <n v="39"/>
    <s v="Female"/>
    <s v="Mumbai"/>
    <x v="2"/>
    <n v="7546.23"/>
    <n v="2"/>
    <n v="11"/>
    <s v="UPI"/>
    <x v="0"/>
    <n v="44"/>
    <x v="0"/>
    <x v="2"/>
  </r>
  <r>
    <s v="CUST1436"/>
    <d v="2022-04-22T00:00:00"/>
    <m/>
    <n v="51"/>
    <s v="Female"/>
    <s v="Bangalore"/>
    <x v="1"/>
    <n v="5911.78"/>
    <n v="2"/>
    <n v="38"/>
    <s v="PayPal"/>
    <x v="0"/>
    <n v="46"/>
    <x v="0"/>
    <x v="1"/>
  </r>
  <r>
    <s v="CUST1437"/>
    <d v="2022-05-17T00:00:00"/>
    <d v="2022-09-10T00:00:00"/>
    <n v="25"/>
    <s v="Female"/>
    <s v="Mumbai"/>
    <x v="1"/>
    <n v="3207.01"/>
    <n v="2"/>
    <n v="19"/>
    <s v="Card"/>
    <x v="1"/>
    <n v="3"/>
    <x v="0"/>
    <x v="3"/>
  </r>
  <r>
    <s v="CUST1438"/>
    <d v="2024-02-02T00:00:00"/>
    <m/>
    <n v="22"/>
    <s v="Female"/>
    <s v="Mumbai"/>
    <x v="1"/>
    <n v="13237.03"/>
    <n v="26"/>
    <n v="98"/>
    <s v="Card"/>
    <x v="0"/>
    <n v="25"/>
    <x v="2"/>
    <x v="0"/>
  </r>
  <r>
    <s v="CUST1439"/>
    <d v="2023-07-29T00:00:00"/>
    <d v="2023-11-28T00:00:00"/>
    <n v="23"/>
    <s v="Female"/>
    <s v="Mumbai"/>
    <x v="0"/>
    <n v="5369.54"/>
    <n v="4"/>
    <n v="27"/>
    <s v="Card"/>
    <x v="1"/>
    <n v="3"/>
    <x v="0"/>
    <x v="0"/>
  </r>
  <r>
    <s v="CUST1440"/>
    <d v="2022-03-26T00:00:00"/>
    <m/>
    <n v="55"/>
    <s v="Female"/>
    <s v="Delhi"/>
    <x v="1"/>
    <n v="5270.63"/>
    <n v="6"/>
    <n v="56"/>
    <s v="Card"/>
    <x v="0"/>
    <n v="47"/>
    <x v="1"/>
    <x v="1"/>
  </r>
  <r>
    <s v="CUST1441"/>
    <d v="2022-11-10T00:00:00"/>
    <m/>
    <n v="48"/>
    <s v="Female"/>
    <s v="Kolkata"/>
    <x v="2"/>
    <n v="15273.21"/>
    <n v="26"/>
    <n v="97"/>
    <s v="Card"/>
    <x v="0"/>
    <n v="40"/>
    <x v="2"/>
    <x v="1"/>
  </r>
  <r>
    <s v="CUST1442"/>
    <d v="2023-01-19T00:00:00"/>
    <m/>
    <n v="47"/>
    <s v="Female"/>
    <s v="Delhi"/>
    <x v="2"/>
    <n v="17906.169999999998"/>
    <n v="25"/>
    <n v="89"/>
    <s v="Other"/>
    <x v="0"/>
    <n v="37"/>
    <x v="2"/>
    <x v="1"/>
  </r>
  <r>
    <s v="CUST1443"/>
    <d v="2023-04-04T00:00:00"/>
    <m/>
    <n v="51"/>
    <s v="Female"/>
    <s v="Bangalore"/>
    <x v="2"/>
    <n v="3625.9"/>
    <n v="4"/>
    <n v="19"/>
    <s v="UPI"/>
    <x v="0"/>
    <n v="35"/>
    <x v="0"/>
    <x v="1"/>
  </r>
  <r>
    <s v="CUST1444"/>
    <d v="2022-06-10T00:00:00"/>
    <d v="2023-02-10T00:00:00"/>
    <n v="23"/>
    <s v="Male"/>
    <s v="Hyderabad"/>
    <x v="1"/>
    <n v="12836.11"/>
    <n v="12"/>
    <n v="62"/>
    <s v="Card"/>
    <x v="1"/>
    <n v="8"/>
    <x v="1"/>
    <x v="0"/>
  </r>
  <r>
    <s v="CUST1445"/>
    <d v="2022-09-12T00:00:00"/>
    <m/>
    <n v="42"/>
    <s v="Female"/>
    <s v="Pune"/>
    <x v="1"/>
    <n v="19558.759999999998"/>
    <n v="19"/>
    <n v="78"/>
    <s v="Other"/>
    <x v="0"/>
    <n v="42"/>
    <x v="2"/>
    <x v="2"/>
  </r>
  <r>
    <s v="CUST1446"/>
    <d v="2024-06-09T00:00:00"/>
    <m/>
    <n v="18"/>
    <s v="Male"/>
    <s v="Pune"/>
    <x v="1"/>
    <n v="12464.02"/>
    <n v="13"/>
    <n v="88"/>
    <s v="UPI"/>
    <x v="0"/>
    <n v="21"/>
    <x v="2"/>
    <x v="0"/>
  </r>
  <r>
    <s v="CUST1447"/>
    <d v="2024-01-20T00:00:00"/>
    <m/>
    <n v="57"/>
    <s v="Female"/>
    <s v="Mumbai"/>
    <x v="1"/>
    <n v="14248.45"/>
    <n v="12"/>
    <n v="54"/>
    <s v="Card"/>
    <x v="0"/>
    <n v="25"/>
    <x v="1"/>
    <x v="1"/>
  </r>
  <r>
    <s v="CUST1448"/>
    <d v="2024-04-14T00:00:00"/>
    <m/>
    <n v="34"/>
    <s v="Male"/>
    <s v="Mumbai"/>
    <x v="2"/>
    <n v="7466.93"/>
    <n v="7"/>
    <n v="11"/>
    <s v="Card"/>
    <x v="0"/>
    <n v="23"/>
    <x v="0"/>
    <x v="3"/>
  </r>
  <r>
    <s v="CUST1449"/>
    <d v="2024-06-11T00:00:00"/>
    <m/>
    <n v="34"/>
    <s v="Male"/>
    <s v="Mumbai"/>
    <x v="1"/>
    <n v="10083.67"/>
    <n v="10"/>
    <n v="62"/>
    <s v="UPI"/>
    <x v="0"/>
    <n v="21"/>
    <x v="1"/>
    <x v="3"/>
  </r>
  <r>
    <s v="CUST1450"/>
    <d v="2023-12-09T00:00:00"/>
    <m/>
    <n v="30"/>
    <s v="Male"/>
    <s v="Hyderabad"/>
    <x v="1"/>
    <n v="14919.71"/>
    <n v="19"/>
    <n v="90"/>
    <s v="Card"/>
    <x v="0"/>
    <n v="27"/>
    <x v="2"/>
    <x v="3"/>
  </r>
  <r>
    <s v="CUST1451"/>
    <d v="2022-01-29T00:00:00"/>
    <d v="2022-07-25T00:00:00"/>
    <n v="40"/>
    <s v="Male"/>
    <s v="Delhi"/>
    <x v="1"/>
    <n v="7646.72"/>
    <n v="6"/>
    <n v="10"/>
    <s v="Card"/>
    <x v="1"/>
    <n v="5"/>
    <x v="0"/>
    <x v="2"/>
  </r>
  <r>
    <s v="CUST1452"/>
    <d v="2023-11-25T00:00:00"/>
    <m/>
    <n v="21"/>
    <s v="Male"/>
    <s v="Kolkata"/>
    <x v="1"/>
    <n v="3484.37"/>
    <n v="5"/>
    <n v="17"/>
    <s v="Card"/>
    <x v="0"/>
    <n v="27"/>
    <x v="0"/>
    <x v="0"/>
  </r>
  <r>
    <s v="CUST1453"/>
    <d v="2022-03-21T00:00:00"/>
    <d v="2022-09-22T00:00:00"/>
    <n v="38"/>
    <s v="Male"/>
    <s v="Bangalore"/>
    <x v="1"/>
    <n v="7548.04"/>
    <n v="13"/>
    <n v="44"/>
    <s v="UPI"/>
    <x v="1"/>
    <n v="6"/>
    <x v="1"/>
    <x v="2"/>
  </r>
  <r>
    <s v="CUST1454"/>
    <d v="2023-03-06T00:00:00"/>
    <m/>
    <n v="22"/>
    <s v="Female"/>
    <s v="Hyderabad"/>
    <x v="0"/>
    <n v="2750.31"/>
    <n v="5"/>
    <n v="35"/>
    <s v="PayPal"/>
    <x v="0"/>
    <n v="36"/>
    <x v="0"/>
    <x v="0"/>
  </r>
  <r>
    <s v="CUST1455"/>
    <d v="2023-09-07T00:00:00"/>
    <m/>
    <n v="24"/>
    <s v="Male"/>
    <s v="Hyderabad"/>
    <x v="1"/>
    <n v="3667.56"/>
    <n v="1"/>
    <n v="29"/>
    <s v="Card"/>
    <x v="0"/>
    <n v="30"/>
    <x v="0"/>
    <x v="0"/>
  </r>
  <r>
    <s v="CUST1456"/>
    <d v="2022-11-26T00:00:00"/>
    <m/>
    <n v="55"/>
    <s v="Female"/>
    <s v="Kolkata"/>
    <x v="1"/>
    <n v="4486.8500000000004"/>
    <n v="3"/>
    <n v="12"/>
    <s v="PayPal"/>
    <x v="0"/>
    <n v="39"/>
    <x v="0"/>
    <x v="1"/>
  </r>
  <r>
    <s v="CUST1457"/>
    <d v="2024-05-23T00:00:00"/>
    <m/>
    <n v="32"/>
    <s v="Male"/>
    <s v="Hyderabad"/>
    <x v="2"/>
    <n v="6166.1"/>
    <n v="1"/>
    <n v="32"/>
    <s v="Card"/>
    <x v="0"/>
    <n v="21"/>
    <x v="0"/>
    <x v="3"/>
  </r>
  <r>
    <s v="CUST1458"/>
    <d v="2022-02-11T00:00:00"/>
    <d v="2022-10-15T00:00:00"/>
    <n v="24"/>
    <s v="Male"/>
    <s v="Delhi"/>
    <x v="1"/>
    <n v="4451.29"/>
    <n v="6"/>
    <n v="19"/>
    <s v="Card"/>
    <x v="1"/>
    <n v="8"/>
    <x v="0"/>
    <x v="0"/>
  </r>
  <r>
    <s v="CUST1459"/>
    <d v="2022-10-20T00:00:00"/>
    <m/>
    <n v="25"/>
    <s v="Male"/>
    <s v="Kolkata"/>
    <x v="1"/>
    <n v="8837.56"/>
    <n v="14"/>
    <n v="67"/>
    <s v="Card"/>
    <x v="0"/>
    <n v="40"/>
    <x v="1"/>
    <x v="3"/>
  </r>
  <r>
    <s v="CUST1460"/>
    <d v="2023-03-01T00:00:00"/>
    <d v="2023-06-13T00:00:00"/>
    <n v="24"/>
    <s v="Female"/>
    <s v="Pune"/>
    <x v="1"/>
    <n v="3149.63"/>
    <n v="6"/>
    <n v="20"/>
    <s v="Card"/>
    <x v="1"/>
    <n v="3"/>
    <x v="0"/>
    <x v="0"/>
  </r>
  <r>
    <s v="CUST1461"/>
    <d v="2024-02-20T00:00:00"/>
    <d v="2024-05-30T00:00:00"/>
    <n v="55"/>
    <s v="Female"/>
    <s v="Bangalore"/>
    <x v="0"/>
    <n v="2497.8200000000002"/>
    <n v="3"/>
    <n v="16"/>
    <s v="Card"/>
    <x v="1"/>
    <n v="3"/>
    <x v="0"/>
    <x v="1"/>
  </r>
  <r>
    <s v="CUST1462"/>
    <d v="2022-12-21T00:00:00"/>
    <m/>
    <n v="51"/>
    <s v="Female"/>
    <s v="Pune"/>
    <x v="1"/>
    <n v="12546.14"/>
    <n v="13"/>
    <n v="49"/>
    <s v="Card"/>
    <x v="0"/>
    <n v="38"/>
    <x v="1"/>
    <x v="1"/>
  </r>
  <r>
    <s v="CUST1463"/>
    <d v="2023-11-08T00:00:00"/>
    <m/>
    <n v="29"/>
    <s v="Female"/>
    <s v="Pune"/>
    <x v="1"/>
    <n v="12332.26"/>
    <n v="9"/>
    <n v="66"/>
    <s v="PayPal"/>
    <x v="0"/>
    <n v="28"/>
    <x v="1"/>
    <x v="3"/>
  </r>
  <r>
    <s v="CUST1464"/>
    <d v="2024-05-04T00:00:00"/>
    <m/>
    <n v="42"/>
    <s v="Female"/>
    <s v="Kolkata"/>
    <x v="2"/>
    <n v="11383.88"/>
    <n v="11"/>
    <n v="48"/>
    <s v="Card"/>
    <x v="0"/>
    <n v="22"/>
    <x v="1"/>
    <x v="2"/>
  </r>
  <r>
    <s v="CUST1465"/>
    <d v="2023-12-11T00:00:00"/>
    <m/>
    <n v="33"/>
    <s v="Male"/>
    <s v="Kolkata"/>
    <x v="1"/>
    <n v="5816.97"/>
    <n v="11"/>
    <n v="50"/>
    <s v="Card"/>
    <x v="0"/>
    <n v="27"/>
    <x v="1"/>
    <x v="3"/>
  </r>
  <r>
    <s v="CUST1466"/>
    <d v="2022-03-01T00:00:00"/>
    <m/>
    <n v="33"/>
    <s v="Female"/>
    <s v="Hyderabad"/>
    <x v="1"/>
    <n v="11447.8"/>
    <n v="12"/>
    <n v="69"/>
    <s v="PayPal"/>
    <x v="0"/>
    <n v="48"/>
    <x v="1"/>
    <x v="3"/>
  </r>
  <r>
    <s v="CUST1467"/>
    <d v="2022-12-02T00:00:00"/>
    <m/>
    <n v="33"/>
    <s v="Female"/>
    <s v="Pune"/>
    <x v="1"/>
    <n v="13995.14"/>
    <n v="10"/>
    <n v="49"/>
    <s v="UPI"/>
    <x v="0"/>
    <n v="39"/>
    <x v="1"/>
    <x v="3"/>
  </r>
  <r>
    <s v="CUST1468"/>
    <d v="2022-05-12T00:00:00"/>
    <m/>
    <n v="19"/>
    <s v="Female"/>
    <s v="Hyderabad"/>
    <x v="0"/>
    <n v="19344.7"/>
    <n v="14"/>
    <n v="73"/>
    <s v="Card"/>
    <x v="0"/>
    <n v="46"/>
    <x v="2"/>
    <x v="0"/>
  </r>
  <r>
    <s v="CUST1469"/>
    <d v="2022-06-15T00:00:00"/>
    <d v="2022-07-16T00:00:00"/>
    <n v="25"/>
    <s v="Female"/>
    <s v="Hyderabad"/>
    <x v="0"/>
    <n v="7138.22"/>
    <n v="12"/>
    <n v="65"/>
    <s v="UPI"/>
    <x v="1"/>
    <n v="1"/>
    <x v="1"/>
    <x v="3"/>
  </r>
  <r>
    <s v="CUST1470"/>
    <d v="2023-01-06T00:00:00"/>
    <d v="2023-08-31T00:00:00"/>
    <n v="51"/>
    <s v="Male"/>
    <s v="Delhi"/>
    <x v="0"/>
    <n v="4443.16"/>
    <n v="6"/>
    <n v="15"/>
    <s v="UPI"/>
    <x v="1"/>
    <n v="7"/>
    <x v="0"/>
    <x v="1"/>
  </r>
  <r>
    <s v="CUST1471"/>
    <d v="2022-03-28T00:00:00"/>
    <d v="2022-08-21T00:00:00"/>
    <n v="47"/>
    <s v="Female"/>
    <s v="Kolkata"/>
    <x v="1"/>
    <n v="5560.62"/>
    <n v="4"/>
    <n v="12"/>
    <s v="Card"/>
    <x v="1"/>
    <n v="4"/>
    <x v="0"/>
    <x v="1"/>
  </r>
  <r>
    <s v="CUST1472"/>
    <d v="2023-11-18T00:00:00"/>
    <d v="2023-12-22T00:00:00"/>
    <n v="44"/>
    <s v="Female"/>
    <s v="Hyderabad"/>
    <x v="0"/>
    <n v="2392.31"/>
    <n v="5"/>
    <n v="36"/>
    <s v="Card"/>
    <x v="1"/>
    <n v="1"/>
    <x v="0"/>
    <x v="2"/>
  </r>
  <r>
    <s v="CUST1473"/>
    <d v="2022-01-15T00:00:00"/>
    <m/>
    <n v="45"/>
    <s v="Female"/>
    <s v="Pune"/>
    <x v="1"/>
    <n v="26369.17"/>
    <n v="19"/>
    <n v="85"/>
    <s v="Card"/>
    <x v="0"/>
    <n v="50"/>
    <x v="2"/>
    <x v="1"/>
  </r>
  <r>
    <s v="CUST1474"/>
    <d v="2023-10-22T00:00:00"/>
    <d v="2024-10-01T00:00:00"/>
    <n v="32"/>
    <s v="Female"/>
    <s v="Kolkata"/>
    <x v="1"/>
    <n v="12987.44"/>
    <n v="12"/>
    <n v="55"/>
    <s v="Card"/>
    <x v="1"/>
    <n v="11"/>
    <x v="1"/>
    <x v="3"/>
  </r>
  <r>
    <s v="CUST1475"/>
    <d v="2022-06-28T00:00:00"/>
    <m/>
    <n v="21"/>
    <s v="Male"/>
    <s v="Delhi"/>
    <x v="2"/>
    <n v="12372.29"/>
    <n v="14"/>
    <n v="73"/>
    <s v="UPI"/>
    <x v="0"/>
    <n v="44"/>
    <x v="2"/>
    <x v="0"/>
  </r>
  <r>
    <s v="CUST1476"/>
    <d v="2022-12-31T00:00:00"/>
    <d v="2023-08-17T00:00:00"/>
    <n v="45"/>
    <s v="Male"/>
    <s v="Mumbai"/>
    <x v="1"/>
    <n v="5014.08"/>
    <n v="1"/>
    <n v="20"/>
    <s v="Card"/>
    <x v="1"/>
    <n v="7"/>
    <x v="0"/>
    <x v="1"/>
  </r>
  <r>
    <s v="CUST1477"/>
    <d v="2022-10-21T00:00:00"/>
    <m/>
    <n v="34"/>
    <s v="Male"/>
    <s v="Bangalore"/>
    <x v="0"/>
    <n v="29044"/>
    <n v="23"/>
    <n v="70"/>
    <s v="UPI"/>
    <x v="0"/>
    <n v="40"/>
    <x v="1"/>
    <x v="3"/>
  </r>
  <r>
    <s v="CUST1478"/>
    <d v="2022-11-10T00:00:00"/>
    <m/>
    <n v="58"/>
    <s v="Male"/>
    <s v="Kolkata"/>
    <x v="2"/>
    <n v="3451.82"/>
    <n v="3"/>
    <n v="10"/>
    <s v="UPI"/>
    <x v="0"/>
    <n v="40"/>
    <x v="0"/>
    <x v="1"/>
  </r>
  <r>
    <s v="CUST1479"/>
    <d v="2023-05-10T00:00:00"/>
    <m/>
    <n v="30"/>
    <s v="Female"/>
    <s v="Pune"/>
    <x v="1"/>
    <n v="16170"/>
    <n v="24"/>
    <n v="76"/>
    <s v="UPI"/>
    <x v="0"/>
    <n v="34"/>
    <x v="2"/>
    <x v="3"/>
  </r>
  <r>
    <s v="CUST1480"/>
    <d v="2022-12-10T00:00:00"/>
    <d v="2023-07-19T00:00:00"/>
    <n v="34"/>
    <s v="Female"/>
    <s v="Pune"/>
    <x v="2"/>
    <n v="5189.1099999999997"/>
    <n v="6"/>
    <n v="17"/>
    <s v="PayPal"/>
    <x v="1"/>
    <n v="7"/>
    <x v="0"/>
    <x v="3"/>
  </r>
  <r>
    <s v="CUST1481"/>
    <d v="2023-08-05T00:00:00"/>
    <m/>
    <n v="25"/>
    <s v="Male"/>
    <s v="Hyderabad"/>
    <x v="2"/>
    <n v="10404.74"/>
    <n v="5"/>
    <n v="62"/>
    <s v="Card"/>
    <x v="0"/>
    <n v="31"/>
    <x v="1"/>
    <x v="3"/>
  </r>
  <r>
    <s v="CUST1482"/>
    <d v="2023-12-30T00:00:00"/>
    <d v="2024-12-14T00:00:00"/>
    <n v="55"/>
    <s v="Female"/>
    <s v="Mumbai"/>
    <x v="1"/>
    <n v="5003.79"/>
    <n v="7"/>
    <n v="54"/>
    <s v="Card"/>
    <x v="1"/>
    <n v="11"/>
    <x v="1"/>
    <x v="1"/>
  </r>
  <r>
    <s v="CUST1483"/>
    <d v="2022-09-25T00:00:00"/>
    <d v="2023-04-24T00:00:00"/>
    <n v="25"/>
    <s v="Female"/>
    <s v="Kolkata"/>
    <x v="1"/>
    <n v="20657.330000000002"/>
    <n v="25"/>
    <n v="77"/>
    <s v="UPI"/>
    <x v="1"/>
    <n v="6"/>
    <x v="2"/>
    <x v="3"/>
  </r>
  <r>
    <s v="CUST1484"/>
    <d v="2023-06-23T00:00:00"/>
    <m/>
    <n v="31"/>
    <s v="Male"/>
    <s v="Bangalore"/>
    <x v="1"/>
    <n v="12706.86"/>
    <n v="7"/>
    <n v="44"/>
    <s v="Card"/>
    <x v="0"/>
    <n v="32"/>
    <x v="1"/>
    <x v="3"/>
  </r>
  <r>
    <s v="CUST1485"/>
    <d v="2023-05-17T00:00:00"/>
    <d v="2023-07-08T00:00:00"/>
    <n v="29"/>
    <s v="Female"/>
    <s v="Delhi"/>
    <x v="0"/>
    <n v="7393.21"/>
    <n v="7"/>
    <n v="32"/>
    <s v="Card"/>
    <x v="1"/>
    <n v="1"/>
    <x v="0"/>
    <x v="3"/>
  </r>
  <r>
    <s v="CUST1486"/>
    <d v="2022-10-18T00:00:00"/>
    <d v="2022-12-08T00:00:00"/>
    <n v="36"/>
    <s v="Female"/>
    <s v="Pune"/>
    <x v="0"/>
    <n v="7765.12"/>
    <n v="5"/>
    <n v="47"/>
    <s v="Card"/>
    <x v="1"/>
    <n v="1"/>
    <x v="1"/>
    <x v="2"/>
  </r>
  <r>
    <s v="CUST1487"/>
    <d v="2023-08-16T00:00:00"/>
    <d v="2023-10-25T00:00:00"/>
    <n v="27"/>
    <s v="Male"/>
    <s v="Pune"/>
    <x v="1"/>
    <n v="5671.21"/>
    <n v="5"/>
    <n v="33"/>
    <s v="Card"/>
    <x v="1"/>
    <n v="2"/>
    <x v="0"/>
    <x v="3"/>
  </r>
  <r>
    <s v="CUST1488"/>
    <d v="2024-03-20T00:00:00"/>
    <m/>
    <n v="27"/>
    <s v="Male"/>
    <s v="Pune"/>
    <x v="0"/>
    <n v="10188.17"/>
    <n v="10"/>
    <n v="52"/>
    <s v="PayPal"/>
    <x v="0"/>
    <n v="23"/>
    <x v="1"/>
    <x v="3"/>
  </r>
  <r>
    <s v="CUST1489"/>
    <d v="2024-05-01T00:00:00"/>
    <m/>
    <n v="20"/>
    <s v="Male"/>
    <s v="Pune"/>
    <x v="1"/>
    <n v="8608.7999999999993"/>
    <n v="10"/>
    <n v="40"/>
    <s v="Card"/>
    <x v="0"/>
    <n v="22"/>
    <x v="0"/>
    <x v="0"/>
  </r>
  <r>
    <s v="CUST1490"/>
    <d v="2024-03-13T00:00:00"/>
    <m/>
    <n v="51"/>
    <s v="Other"/>
    <s v="Pune"/>
    <x v="1"/>
    <n v="7209.64"/>
    <n v="13"/>
    <n v="50"/>
    <s v="UPI"/>
    <x v="0"/>
    <n v="24"/>
    <x v="1"/>
    <x v="1"/>
  </r>
  <r>
    <s v="CUST1491"/>
    <d v="2024-04-22T00:00:00"/>
    <d v="2024-10-11T00:00:00"/>
    <n v="22"/>
    <s v="Male"/>
    <s v="Bangalore"/>
    <x v="1"/>
    <n v="2154.2800000000002"/>
    <n v="3"/>
    <n v="10"/>
    <s v="UPI"/>
    <x v="1"/>
    <n v="5"/>
    <x v="0"/>
    <x v="0"/>
  </r>
  <r>
    <s v="CUST1492"/>
    <d v="2024-04-16T00:00:00"/>
    <d v="2025-03-03T00:00:00"/>
    <n v="20"/>
    <s v="Male"/>
    <s v="Hyderabad"/>
    <x v="1"/>
    <n v="13164.92"/>
    <n v="12"/>
    <n v="99"/>
    <s v="UPI"/>
    <x v="1"/>
    <n v="10"/>
    <x v="2"/>
    <x v="0"/>
  </r>
  <r>
    <s v="CUST1493"/>
    <d v="2022-07-15T00:00:00"/>
    <m/>
    <n v="48"/>
    <s v="Male"/>
    <s v="Bangalore"/>
    <x v="0"/>
    <n v="5919.07"/>
    <n v="4"/>
    <n v="37"/>
    <s v="UPI"/>
    <x v="0"/>
    <n v="44"/>
    <x v="0"/>
    <x v="1"/>
  </r>
  <r>
    <s v="CUST1494"/>
    <d v="2023-06-01T00:00:00"/>
    <m/>
    <n v="42"/>
    <s v="Male"/>
    <s v="Delhi"/>
    <x v="2"/>
    <n v="12893.89"/>
    <n v="18"/>
    <n v="77"/>
    <s v="Card"/>
    <x v="0"/>
    <n v="33"/>
    <x v="2"/>
    <x v="2"/>
  </r>
  <r>
    <s v="CUST1495"/>
    <d v="2023-09-09T00:00:00"/>
    <m/>
    <n v="23"/>
    <s v="Female"/>
    <s v="Kolkata"/>
    <x v="1"/>
    <n v="2429.63"/>
    <n v="3"/>
    <n v="29"/>
    <s v="UPI"/>
    <x v="0"/>
    <n v="30"/>
    <x v="0"/>
    <x v="0"/>
  </r>
  <r>
    <s v="CUST1496"/>
    <d v="2022-05-16T00:00:00"/>
    <d v="2022-09-23T00:00:00"/>
    <n v="20"/>
    <s v="Female"/>
    <s v="Pune"/>
    <x v="1"/>
    <n v="5724.58"/>
    <n v="4"/>
    <n v="32"/>
    <s v="Card"/>
    <x v="1"/>
    <n v="4"/>
    <x v="0"/>
    <x v="0"/>
  </r>
  <r>
    <s v="CUST1497"/>
    <d v="2022-08-23T00:00:00"/>
    <d v="2023-06-30T00:00:00"/>
    <n v="26"/>
    <s v="Female"/>
    <s v="Kolkata"/>
    <x v="2"/>
    <n v="6386.21"/>
    <n v="1"/>
    <n v="35"/>
    <s v="Card"/>
    <x v="1"/>
    <n v="10"/>
    <x v="0"/>
    <x v="3"/>
  </r>
  <r>
    <s v="CUST1498"/>
    <d v="2024-04-06T00:00:00"/>
    <d v="2024-11-20T00:00:00"/>
    <n v="20"/>
    <s v="Female"/>
    <s v="Mumbai"/>
    <x v="1"/>
    <n v="7847.6"/>
    <n v="7"/>
    <n v="34"/>
    <s v="Other"/>
    <x v="1"/>
    <n v="7"/>
    <x v="0"/>
    <x v="0"/>
  </r>
  <r>
    <s v="CUST1499"/>
    <d v="2023-09-17T00:00:00"/>
    <m/>
    <n v="42"/>
    <s v="Female"/>
    <s v="Delhi"/>
    <x v="2"/>
    <n v="13755.47"/>
    <n v="10"/>
    <n v="67"/>
    <s v="PayPal"/>
    <x v="0"/>
    <n v="30"/>
    <x v="1"/>
    <x v="2"/>
  </r>
  <r>
    <s v="CUST1500"/>
    <d v="2022-09-16T00:00:00"/>
    <m/>
    <n v="42"/>
    <s v="Female"/>
    <s v="Bangalore"/>
    <x v="2"/>
    <n v="15252.53"/>
    <n v="17"/>
    <n v="78"/>
    <s v="UPI"/>
    <x v="0"/>
    <n v="42"/>
    <x v="2"/>
    <x v="2"/>
  </r>
  <r>
    <s v="CUST1501"/>
    <d v="2024-03-18T00:00:00"/>
    <d v="2025-02-26T00:00:00"/>
    <n v="56"/>
    <s v="Female"/>
    <s v="Bangalore"/>
    <x v="2"/>
    <n v="4184.84"/>
    <n v="6"/>
    <n v="20"/>
    <s v="UPI"/>
    <x v="1"/>
    <n v="11"/>
    <x v="0"/>
    <x v="1"/>
  </r>
  <r>
    <s v="CUST1502"/>
    <d v="2024-04-22T00:00:00"/>
    <d v="2025-01-04T00:00:00"/>
    <n v="28"/>
    <s v="Female"/>
    <s v="Delhi"/>
    <x v="2"/>
    <n v="14915.62"/>
    <n v="12"/>
    <n v="51"/>
    <s v="PayPal"/>
    <x v="1"/>
    <n v="8"/>
    <x v="1"/>
    <x v="3"/>
  </r>
  <r>
    <s v="CUST1503"/>
    <d v="2022-03-14T00:00:00"/>
    <m/>
    <n v="43"/>
    <s v="Male"/>
    <s v="Pune"/>
    <x v="2"/>
    <n v="5323.27"/>
    <n v="2"/>
    <n v="37"/>
    <s v="Card"/>
    <x v="0"/>
    <n v="48"/>
    <x v="0"/>
    <x v="2"/>
  </r>
  <r>
    <s v="CUST1504"/>
    <d v="2024-05-11T00:00:00"/>
    <d v="2024-09-30T00:00:00"/>
    <n v="25"/>
    <s v="Male"/>
    <s v="Mumbai"/>
    <x v="1"/>
    <n v="11962.94"/>
    <n v="11"/>
    <n v="45"/>
    <s v="Card"/>
    <x v="1"/>
    <n v="4"/>
    <x v="1"/>
    <x v="3"/>
  </r>
  <r>
    <s v="CUST1505"/>
    <d v="2023-06-01T00:00:00"/>
    <m/>
    <n v="41"/>
    <s v="Female"/>
    <s v="Kolkata"/>
    <x v="2"/>
    <n v="14060.57"/>
    <n v="7"/>
    <n v="67"/>
    <s v="Card"/>
    <x v="0"/>
    <n v="33"/>
    <x v="1"/>
    <x v="2"/>
  </r>
  <r>
    <s v="CUST1506"/>
    <d v="2023-05-28T00:00:00"/>
    <d v="2024-02-03T00:00:00"/>
    <n v="37"/>
    <s v="Male"/>
    <s v="Delhi"/>
    <x v="2"/>
    <n v="5850.69"/>
    <n v="6"/>
    <n v="31"/>
    <s v="PayPal"/>
    <x v="1"/>
    <n v="8"/>
    <x v="0"/>
    <x v="2"/>
  </r>
  <r>
    <s v="CUST1507"/>
    <d v="2023-11-24T00:00:00"/>
    <d v="2024-09-30T00:00:00"/>
    <n v="20"/>
    <s v="Male"/>
    <s v="Delhi"/>
    <x v="2"/>
    <n v="27309.119999999999"/>
    <n v="29"/>
    <n v="83"/>
    <s v="Other"/>
    <x v="1"/>
    <n v="10"/>
    <x v="2"/>
    <x v="0"/>
  </r>
  <r>
    <s v="CUST1508"/>
    <d v="2023-09-18T00:00:00"/>
    <m/>
    <n v="27"/>
    <s v="Female"/>
    <s v="Bangalore"/>
    <x v="1"/>
    <n v="19695.8"/>
    <n v="19"/>
    <n v="98"/>
    <s v="Card"/>
    <x v="0"/>
    <n v="29"/>
    <x v="2"/>
    <x v="3"/>
  </r>
  <r>
    <s v="CUST1509"/>
    <d v="2023-06-17T00:00:00"/>
    <d v="2024-03-22T00:00:00"/>
    <n v="55"/>
    <s v="Male"/>
    <s v="Pune"/>
    <x v="1"/>
    <n v="6048.24"/>
    <n v="9"/>
    <n v="46"/>
    <s v="Other"/>
    <x v="1"/>
    <n v="9"/>
    <x v="1"/>
    <x v="1"/>
  </r>
  <r>
    <s v="CUST1510"/>
    <d v="2023-09-29T00:00:00"/>
    <d v="2024-02-01T00:00:00"/>
    <n v="39"/>
    <s v="Male"/>
    <s v="Bangalore"/>
    <x v="2"/>
    <n v="2952.11"/>
    <n v="6"/>
    <n v="18"/>
    <s v="UPI"/>
    <x v="1"/>
    <n v="4"/>
    <x v="0"/>
    <x v="2"/>
  </r>
  <r>
    <s v="CUST1511"/>
    <d v="2023-04-23T00:00:00"/>
    <m/>
    <n v="26"/>
    <s v="Female"/>
    <s v="Bangalore"/>
    <x v="2"/>
    <n v="29774.67"/>
    <n v="27"/>
    <n v="97"/>
    <s v="UPI"/>
    <x v="0"/>
    <n v="34"/>
    <x v="2"/>
    <x v="3"/>
  </r>
  <r>
    <s v="CUST1512"/>
    <d v="2024-06-08T00:00:00"/>
    <m/>
    <n v="49"/>
    <s v="Female"/>
    <s v="Hyderabad"/>
    <x v="1"/>
    <n v="19717.79"/>
    <n v="25"/>
    <n v="75"/>
    <s v="Card"/>
    <x v="0"/>
    <n v="21"/>
    <x v="2"/>
    <x v="1"/>
  </r>
  <r>
    <s v="CUST1513"/>
    <d v="2023-06-28T00:00:00"/>
    <m/>
    <n v="45"/>
    <s v="Male"/>
    <s v="Hyderabad"/>
    <x v="2"/>
    <n v="4201.3999999999996"/>
    <n v="7"/>
    <n v="11"/>
    <s v="UPI"/>
    <x v="0"/>
    <n v="32"/>
    <x v="0"/>
    <x v="1"/>
  </r>
  <r>
    <s v="CUST1514"/>
    <d v="2023-01-04T00:00:00"/>
    <d v="2023-11-06T00:00:00"/>
    <n v="20"/>
    <s v="Male"/>
    <s v="Delhi"/>
    <x v="1"/>
    <n v="5901.83"/>
    <n v="7"/>
    <n v="20"/>
    <s v="Card"/>
    <x v="1"/>
    <n v="10"/>
    <x v="0"/>
    <x v="0"/>
  </r>
  <r>
    <s v="CUST1515"/>
    <d v="2023-07-16T00:00:00"/>
    <m/>
    <n v="39"/>
    <s v="Male"/>
    <s v="Bangalore"/>
    <x v="1"/>
    <n v="21611.74"/>
    <n v="21"/>
    <n v="96"/>
    <s v="PayPal"/>
    <x v="0"/>
    <n v="32"/>
    <x v="2"/>
    <x v="2"/>
  </r>
  <r>
    <s v="CUST1516"/>
    <d v="2023-01-04T00:00:00"/>
    <m/>
    <n v="42"/>
    <s v="Female"/>
    <s v="Hyderabad"/>
    <x v="2"/>
    <n v="5762.08"/>
    <n v="4"/>
    <n v="16"/>
    <s v="Other"/>
    <x v="0"/>
    <n v="38"/>
    <x v="0"/>
    <x v="2"/>
  </r>
  <r>
    <s v="CUST1517"/>
    <d v="2022-08-23T00:00:00"/>
    <m/>
    <n v="21"/>
    <s v="Female"/>
    <s v="Delhi"/>
    <x v="0"/>
    <n v="7338.45"/>
    <n v="8"/>
    <n v="63"/>
    <s v="UPI"/>
    <x v="0"/>
    <n v="42"/>
    <x v="1"/>
    <x v="0"/>
  </r>
  <r>
    <s v="CUST1518"/>
    <d v="2022-05-31T00:00:00"/>
    <d v="2023-05-16T00:00:00"/>
    <n v="40"/>
    <s v="Female"/>
    <s v="Hyderabad"/>
    <x v="1"/>
    <n v="5044.95"/>
    <n v="3"/>
    <n v="32"/>
    <s v="Card"/>
    <x v="1"/>
    <n v="11"/>
    <x v="0"/>
    <x v="2"/>
  </r>
  <r>
    <s v="CUST1519"/>
    <d v="2023-11-02T00:00:00"/>
    <m/>
    <n v="47"/>
    <s v="Female"/>
    <s v="Mumbai"/>
    <x v="1"/>
    <n v="23203.96"/>
    <n v="21"/>
    <n v="83"/>
    <s v="Card"/>
    <x v="0"/>
    <n v="28"/>
    <x v="2"/>
    <x v="1"/>
  </r>
  <r>
    <s v="CUST1520"/>
    <d v="2022-04-25T00:00:00"/>
    <d v="2022-05-31T00:00:00"/>
    <n v="59"/>
    <s v="Female"/>
    <s v="Kolkata"/>
    <x v="1"/>
    <n v="4498.12"/>
    <n v="3"/>
    <n v="29"/>
    <s v="Other"/>
    <x v="1"/>
    <n v="1"/>
    <x v="0"/>
    <x v="1"/>
  </r>
  <r>
    <s v="CUST1521"/>
    <d v="2024-04-12T00:00:00"/>
    <d v="2025-01-16T00:00:00"/>
    <n v="53"/>
    <s v="Male"/>
    <s v="Delhi"/>
    <x v="2"/>
    <n v="7323.12"/>
    <n v="6"/>
    <n v="34"/>
    <s v="UPI"/>
    <x v="1"/>
    <n v="9"/>
    <x v="0"/>
    <x v="1"/>
  </r>
  <r>
    <s v="CUST1522"/>
    <d v="2022-06-12T00:00:00"/>
    <d v="2023-03-29T00:00:00"/>
    <n v="43"/>
    <s v="Male"/>
    <s v="Bangalore"/>
    <x v="1"/>
    <n v="6795.83"/>
    <n v="5"/>
    <n v="20"/>
    <s v="UPI"/>
    <x v="1"/>
    <n v="9"/>
    <x v="0"/>
    <x v="2"/>
  </r>
  <r>
    <s v="CUST1523"/>
    <d v="2022-03-26T00:00:00"/>
    <m/>
    <n v="48"/>
    <s v="Male"/>
    <s v="Mumbai"/>
    <x v="1"/>
    <n v="6692.91"/>
    <n v="5"/>
    <n v="63"/>
    <s v="Card"/>
    <x v="0"/>
    <n v="47"/>
    <x v="1"/>
    <x v="1"/>
  </r>
  <r>
    <s v="CUST1524"/>
    <d v="2022-03-21T00:00:00"/>
    <m/>
    <n v="26"/>
    <s v="Female"/>
    <s v="Bangalore"/>
    <x v="2"/>
    <n v="13348.56"/>
    <n v="10"/>
    <n v="46"/>
    <s v="Other"/>
    <x v="0"/>
    <n v="47"/>
    <x v="1"/>
    <x v="3"/>
  </r>
  <r>
    <s v="CUST1525"/>
    <d v="2023-02-09T00:00:00"/>
    <d v="2023-10-07T00:00:00"/>
    <n v="40"/>
    <s v="Male"/>
    <s v="Pune"/>
    <x v="1"/>
    <n v="9619"/>
    <n v="5"/>
    <n v="57"/>
    <s v="Card"/>
    <x v="1"/>
    <n v="7"/>
    <x v="1"/>
    <x v="2"/>
  </r>
  <r>
    <s v="CUST1526"/>
    <d v="2023-02-06T00:00:00"/>
    <m/>
    <n v="24"/>
    <s v="Male"/>
    <s v="Bangalore"/>
    <x v="0"/>
    <n v="7115.76"/>
    <n v="11"/>
    <n v="47"/>
    <s v="UPI"/>
    <x v="0"/>
    <n v="37"/>
    <x v="1"/>
    <x v="0"/>
  </r>
  <r>
    <s v="CUST1527"/>
    <d v="2023-01-30T00:00:00"/>
    <d v="2024-01-07T00:00:00"/>
    <n v="23"/>
    <s v="Female"/>
    <s v="Mumbai"/>
    <x v="2"/>
    <n v="2093.41"/>
    <n v="7"/>
    <n v="15"/>
    <s v="Card"/>
    <x v="1"/>
    <n v="11"/>
    <x v="0"/>
    <x v="0"/>
  </r>
  <r>
    <s v="CUST1528"/>
    <d v="2022-01-01T00:00:00"/>
    <m/>
    <n v="41"/>
    <s v="Female"/>
    <s v="Delhi"/>
    <x v="0"/>
    <n v="14099.56"/>
    <n v="10"/>
    <n v="55"/>
    <s v="Other"/>
    <x v="0"/>
    <n v="50"/>
    <x v="1"/>
    <x v="2"/>
  </r>
  <r>
    <s v="CUST1529"/>
    <d v="2024-06-15T00:00:00"/>
    <d v="2024-12-28T00:00:00"/>
    <n v="50"/>
    <s v="Male"/>
    <s v="Pune"/>
    <x v="2"/>
    <n v="6385.95"/>
    <n v="14"/>
    <n v="52"/>
    <s v="PayPal"/>
    <x v="1"/>
    <n v="6"/>
    <x v="1"/>
    <x v="1"/>
  </r>
  <r>
    <s v="CUST1530"/>
    <d v="2022-08-15T00:00:00"/>
    <m/>
    <n v="49"/>
    <s v="Male"/>
    <s v="Kolkata"/>
    <x v="2"/>
    <n v="19050.650000000001"/>
    <n v="12"/>
    <n v="81"/>
    <s v="Card"/>
    <x v="0"/>
    <n v="43"/>
    <x v="2"/>
    <x v="1"/>
  </r>
  <r>
    <s v="CUST1531"/>
    <d v="2023-11-07T00:00:00"/>
    <m/>
    <n v="22"/>
    <s v="Male"/>
    <s v="Kolkata"/>
    <x v="1"/>
    <n v="11057.88"/>
    <n v="9"/>
    <n v="47"/>
    <s v="UPI"/>
    <x v="0"/>
    <n v="28"/>
    <x v="1"/>
    <x v="0"/>
  </r>
  <r>
    <s v="CUST1532"/>
    <d v="2022-04-30T00:00:00"/>
    <d v="2022-07-27T00:00:00"/>
    <n v="34"/>
    <s v="Male"/>
    <s v="Hyderabad"/>
    <x v="2"/>
    <n v="9045.06"/>
    <n v="13"/>
    <n v="56"/>
    <s v="Other"/>
    <x v="1"/>
    <n v="2"/>
    <x v="1"/>
    <x v="3"/>
  </r>
  <r>
    <s v="CUST1533"/>
    <d v="2022-04-29T00:00:00"/>
    <m/>
    <n v="20"/>
    <s v="Female"/>
    <s v="Pune"/>
    <x v="2"/>
    <n v="7111.89"/>
    <n v="4"/>
    <n v="35"/>
    <s v="PayPal"/>
    <x v="0"/>
    <n v="46"/>
    <x v="0"/>
    <x v="0"/>
  </r>
  <r>
    <s v="CUST1534"/>
    <d v="2022-06-06T00:00:00"/>
    <m/>
    <n v="23"/>
    <s v="Female"/>
    <s v="Kolkata"/>
    <x v="1"/>
    <n v="8254.67"/>
    <n v="12"/>
    <n v="51"/>
    <s v="Card"/>
    <x v="0"/>
    <n v="45"/>
    <x v="1"/>
    <x v="0"/>
  </r>
  <r>
    <s v="CUST1535"/>
    <d v="2023-03-02T00:00:00"/>
    <m/>
    <n v="40"/>
    <s v="Female"/>
    <s v="Mumbai"/>
    <x v="2"/>
    <n v="12516.07"/>
    <n v="10"/>
    <n v="64"/>
    <s v="Card"/>
    <x v="0"/>
    <n v="36"/>
    <x v="1"/>
    <x v="2"/>
  </r>
  <r>
    <s v="CUST1536"/>
    <d v="2024-03-14T00:00:00"/>
    <d v="2024-12-19T00:00:00"/>
    <n v="47"/>
    <s v="Female"/>
    <s v="Bangalore"/>
    <x v="1"/>
    <n v="11843.27"/>
    <n v="5"/>
    <n v="43"/>
    <s v="Card"/>
    <x v="1"/>
    <n v="9"/>
    <x v="1"/>
    <x v="1"/>
  </r>
  <r>
    <s v="CUST1537"/>
    <d v="2024-05-03T00:00:00"/>
    <m/>
    <n v="42"/>
    <s v="Female"/>
    <s v="Pune"/>
    <x v="0"/>
    <n v="4022.62"/>
    <n v="6"/>
    <n v="38"/>
    <s v="UPI"/>
    <x v="0"/>
    <n v="22"/>
    <x v="0"/>
    <x v="2"/>
  </r>
  <r>
    <s v="CUST1538"/>
    <d v="2022-06-23T00:00:00"/>
    <m/>
    <n v="38"/>
    <s v="Male"/>
    <s v="Kolkata"/>
    <x v="2"/>
    <n v="14838.48"/>
    <n v="10"/>
    <n v="47"/>
    <s v="Card"/>
    <x v="0"/>
    <n v="44"/>
    <x v="1"/>
    <x v="2"/>
  </r>
  <r>
    <s v="CUST1539"/>
    <d v="2024-05-06T00:00:00"/>
    <m/>
    <n v="38"/>
    <s v="Female"/>
    <s v="Bangalore"/>
    <x v="0"/>
    <n v="5458.08"/>
    <n v="2"/>
    <n v="22"/>
    <s v="Card"/>
    <x v="0"/>
    <n v="22"/>
    <x v="0"/>
    <x v="2"/>
  </r>
  <r>
    <s v="CUST1540"/>
    <d v="2023-03-21T00:00:00"/>
    <m/>
    <n v="36"/>
    <s v="Male"/>
    <s v="Bangalore"/>
    <x v="0"/>
    <n v="5919.83"/>
    <n v="4"/>
    <n v="39"/>
    <s v="Card"/>
    <x v="0"/>
    <n v="35"/>
    <x v="0"/>
    <x v="2"/>
  </r>
  <r>
    <s v="CUST1541"/>
    <d v="2022-08-03T00:00:00"/>
    <m/>
    <n v="19"/>
    <s v="Female"/>
    <s v="Mumbai"/>
    <x v="2"/>
    <n v="7480.04"/>
    <n v="7"/>
    <n v="67"/>
    <s v="Other"/>
    <x v="0"/>
    <n v="43"/>
    <x v="1"/>
    <x v="0"/>
  </r>
  <r>
    <s v="CUST1542"/>
    <d v="2022-03-29T00:00:00"/>
    <d v="2023-03-22T00:00:00"/>
    <n v="32"/>
    <s v="Female"/>
    <s v="Bangalore"/>
    <x v="0"/>
    <n v="13372.47"/>
    <n v="5"/>
    <n v="69"/>
    <s v="PayPal"/>
    <x v="1"/>
    <n v="11"/>
    <x v="1"/>
    <x v="3"/>
  </r>
  <r>
    <s v="CUST1543"/>
    <d v="2023-04-22T00:00:00"/>
    <m/>
    <n v="42"/>
    <s v="Male"/>
    <s v="Bangalore"/>
    <x v="2"/>
    <n v="6329.77"/>
    <n v="11"/>
    <n v="47"/>
    <s v="Card"/>
    <x v="0"/>
    <n v="34"/>
    <x v="1"/>
    <x v="2"/>
  </r>
  <r>
    <s v="CUST1544"/>
    <d v="2022-09-01T00:00:00"/>
    <d v="2022-10-09T00:00:00"/>
    <n v="23"/>
    <s v="Female"/>
    <s v="Hyderabad"/>
    <x v="1"/>
    <n v="9786.6299999999992"/>
    <n v="8"/>
    <n v="42"/>
    <s v="Card"/>
    <x v="1"/>
    <n v="1"/>
    <x v="1"/>
    <x v="0"/>
  </r>
  <r>
    <s v="CUST1545"/>
    <d v="2023-01-12T00:00:00"/>
    <m/>
    <n v="59"/>
    <s v="Male"/>
    <s v="Bangalore"/>
    <x v="0"/>
    <n v="4441.3999999999996"/>
    <n v="7"/>
    <n v="26"/>
    <s v="PayPal"/>
    <x v="0"/>
    <n v="38"/>
    <x v="0"/>
    <x v="1"/>
  </r>
  <r>
    <s v="CUST1546"/>
    <d v="2022-01-12T00:00:00"/>
    <d v="2022-03-12T00:00:00"/>
    <n v="50"/>
    <s v="Female"/>
    <s v="Delhi"/>
    <x v="2"/>
    <n v="13705.32"/>
    <n v="12"/>
    <n v="61"/>
    <s v="Card"/>
    <x v="1"/>
    <n v="2"/>
    <x v="1"/>
    <x v="1"/>
  </r>
  <r>
    <s v="CUST1547"/>
    <d v="2024-06-04T00:00:00"/>
    <d v="2025-03-04T00:00:00"/>
    <n v="22"/>
    <s v="Male"/>
    <s v="Mumbai"/>
    <x v="2"/>
    <n v="12077.16"/>
    <n v="5"/>
    <n v="52"/>
    <s v="UPI"/>
    <x v="1"/>
    <n v="9"/>
    <x v="1"/>
    <x v="0"/>
  </r>
  <r>
    <s v="CUST1548"/>
    <d v="2023-02-11T00:00:00"/>
    <m/>
    <n v="38"/>
    <s v="Female"/>
    <s v="Pune"/>
    <x v="0"/>
    <n v="8481.09"/>
    <n v="14"/>
    <n v="68"/>
    <s v="Card"/>
    <x v="0"/>
    <n v="37"/>
    <x v="1"/>
    <x v="2"/>
  </r>
  <r>
    <s v="CUST1549"/>
    <d v="2024-04-14T00:00:00"/>
    <m/>
    <n v="49"/>
    <s v="Male"/>
    <s v="Pune"/>
    <x v="2"/>
    <n v="7847.7"/>
    <n v="1"/>
    <n v="28"/>
    <s v="PayPal"/>
    <x v="0"/>
    <n v="23"/>
    <x v="0"/>
    <x v="1"/>
  </r>
  <r>
    <s v="CUST1550"/>
    <d v="2022-04-04T00:00:00"/>
    <d v="2022-12-28T00:00:00"/>
    <n v="50"/>
    <s v="Female"/>
    <s v="Delhi"/>
    <x v="1"/>
    <n v="11954.87"/>
    <n v="8"/>
    <n v="42"/>
    <s v="UPI"/>
    <x v="1"/>
    <n v="8"/>
    <x v="1"/>
    <x v="1"/>
  </r>
  <r>
    <s v="CUST1551"/>
    <d v="2022-12-26T00:00:00"/>
    <d v="2023-10-29T00:00:00"/>
    <n v="47"/>
    <s v="Female"/>
    <s v="Pune"/>
    <x v="2"/>
    <n v="10697.55"/>
    <n v="14"/>
    <n v="57"/>
    <s v="Card"/>
    <x v="1"/>
    <n v="10"/>
    <x v="1"/>
    <x v="1"/>
  </r>
  <r>
    <s v="CUST1552"/>
    <d v="2024-05-23T00:00:00"/>
    <m/>
    <n v="28"/>
    <s v="Female"/>
    <s v="Bangalore"/>
    <x v="2"/>
    <n v="28403.29"/>
    <n v="24"/>
    <n v="86"/>
    <s v="UPI"/>
    <x v="0"/>
    <n v="21"/>
    <x v="2"/>
    <x v="3"/>
  </r>
  <r>
    <s v="CUST1553"/>
    <d v="2022-11-07T00:00:00"/>
    <m/>
    <n v="45"/>
    <s v="Male"/>
    <s v="Bangalore"/>
    <x v="2"/>
    <n v="3934.67"/>
    <n v="4"/>
    <n v="33"/>
    <s v="Card"/>
    <x v="0"/>
    <n v="40"/>
    <x v="0"/>
    <x v="1"/>
  </r>
  <r>
    <s v="CUST1554"/>
    <d v="2023-11-14T00:00:00"/>
    <d v="2024-11-09T00:00:00"/>
    <n v="41"/>
    <s v="Male"/>
    <s v="Kolkata"/>
    <x v="0"/>
    <n v="6529.13"/>
    <n v="4"/>
    <n v="20"/>
    <s v="Card"/>
    <x v="1"/>
    <n v="11"/>
    <x v="0"/>
    <x v="2"/>
  </r>
  <r>
    <s v="CUST1555"/>
    <d v="2024-02-02T00:00:00"/>
    <m/>
    <n v="28"/>
    <s v="Male"/>
    <s v="Hyderabad"/>
    <x v="2"/>
    <n v="6223.55"/>
    <n v="7"/>
    <n v="69"/>
    <s v="PayPal"/>
    <x v="0"/>
    <n v="25"/>
    <x v="1"/>
    <x v="3"/>
  </r>
  <r>
    <s v="CUST1556"/>
    <d v="2023-01-28T00:00:00"/>
    <m/>
    <n v="35"/>
    <s v="Female"/>
    <s v="Delhi"/>
    <x v="0"/>
    <n v="5583"/>
    <n v="2"/>
    <n v="15"/>
    <s v="PayPal"/>
    <x v="0"/>
    <n v="37"/>
    <x v="0"/>
    <x v="2"/>
  </r>
  <r>
    <s v="CUST1557"/>
    <d v="2023-11-10T00:00:00"/>
    <d v="2024-03-20T00:00:00"/>
    <n v="58"/>
    <s v="Male"/>
    <s v="Delhi"/>
    <x v="2"/>
    <n v="7837.79"/>
    <n v="5"/>
    <n v="40"/>
    <s v="Card"/>
    <x v="1"/>
    <n v="4"/>
    <x v="0"/>
    <x v="1"/>
  </r>
  <r>
    <s v="CUST1558"/>
    <d v="2022-04-01T00:00:00"/>
    <d v="2022-10-09T00:00:00"/>
    <n v="39"/>
    <s v="Female"/>
    <s v="Bangalore"/>
    <x v="0"/>
    <n v="9156.81"/>
    <n v="8"/>
    <n v="55"/>
    <s v="Card"/>
    <x v="1"/>
    <n v="6"/>
    <x v="1"/>
    <x v="2"/>
  </r>
  <r>
    <s v="CUST1559"/>
    <d v="2022-05-26T00:00:00"/>
    <d v="2022-09-02T00:00:00"/>
    <n v="56"/>
    <s v="Male"/>
    <s v="Mumbai"/>
    <x v="1"/>
    <n v="11127.51"/>
    <n v="12"/>
    <n v="69"/>
    <s v="PayPal"/>
    <x v="1"/>
    <n v="3"/>
    <x v="1"/>
    <x v="1"/>
  </r>
  <r>
    <s v="CUST1560"/>
    <d v="2022-05-25T00:00:00"/>
    <m/>
    <n v="26"/>
    <s v="Male"/>
    <s v="Hyderabad"/>
    <x v="1"/>
    <n v="27607.47"/>
    <n v="16"/>
    <n v="99"/>
    <s v="Card"/>
    <x v="0"/>
    <n v="45"/>
    <x v="2"/>
    <x v="3"/>
  </r>
  <r>
    <s v="CUST1561"/>
    <d v="2023-08-07T00:00:00"/>
    <m/>
    <n v="28"/>
    <s v="Male"/>
    <s v="Bangalore"/>
    <x v="2"/>
    <n v="19465.12"/>
    <n v="21"/>
    <n v="90"/>
    <s v="UPI"/>
    <x v="0"/>
    <n v="31"/>
    <x v="2"/>
    <x v="3"/>
  </r>
  <r>
    <s v="CUST1562"/>
    <d v="2023-09-23T00:00:00"/>
    <d v="2024-07-07T00:00:00"/>
    <n v="21"/>
    <s v="Male"/>
    <s v="Pune"/>
    <x v="0"/>
    <n v="10272.44"/>
    <n v="6"/>
    <n v="59"/>
    <s v="Card"/>
    <x v="1"/>
    <n v="9"/>
    <x v="1"/>
    <x v="0"/>
  </r>
  <r>
    <s v="CUST1563"/>
    <d v="2022-02-26T00:00:00"/>
    <d v="2022-11-22T00:00:00"/>
    <n v="48"/>
    <s v="Female"/>
    <s v="Delhi"/>
    <x v="0"/>
    <n v="4681.5200000000004"/>
    <n v="1"/>
    <n v="11"/>
    <s v="Card"/>
    <x v="1"/>
    <n v="8"/>
    <x v="0"/>
    <x v="1"/>
  </r>
  <r>
    <s v="CUST1564"/>
    <d v="2022-09-03T00:00:00"/>
    <m/>
    <n v="20"/>
    <s v="Male"/>
    <s v="Delhi"/>
    <x v="2"/>
    <n v="15519.57"/>
    <n v="13"/>
    <n v="70"/>
    <s v="Card"/>
    <x v="0"/>
    <n v="42"/>
    <x v="1"/>
    <x v="0"/>
  </r>
  <r>
    <s v="CUST1565"/>
    <d v="2024-02-12T00:00:00"/>
    <m/>
    <n v="18"/>
    <s v="Female"/>
    <s v="Bangalore"/>
    <x v="1"/>
    <n v="7403.2"/>
    <n v="4"/>
    <n v="15"/>
    <s v="UPI"/>
    <x v="0"/>
    <n v="25"/>
    <x v="0"/>
    <x v="0"/>
  </r>
  <r>
    <s v="CUST1566"/>
    <d v="2024-02-06T00:00:00"/>
    <m/>
    <n v="55"/>
    <s v="Female"/>
    <s v="Delhi"/>
    <x v="1"/>
    <n v="5978.89"/>
    <n v="7"/>
    <n v="49"/>
    <s v="UPI"/>
    <x v="0"/>
    <n v="25"/>
    <x v="1"/>
    <x v="1"/>
  </r>
  <r>
    <s v="CUST1567"/>
    <d v="2022-06-24T00:00:00"/>
    <d v="2022-11-12T00:00:00"/>
    <n v="56"/>
    <s v="Male"/>
    <s v="Delhi"/>
    <x v="1"/>
    <n v="9777"/>
    <n v="6"/>
    <n v="55"/>
    <s v="PayPal"/>
    <x v="1"/>
    <n v="4"/>
    <x v="1"/>
    <x v="1"/>
  </r>
  <r>
    <s v="CUST1568"/>
    <d v="2022-03-09T00:00:00"/>
    <d v="2023-01-15T00:00:00"/>
    <n v="54"/>
    <s v="Male"/>
    <s v="Pune"/>
    <x v="1"/>
    <n v="8950.66"/>
    <n v="5"/>
    <n v="41"/>
    <s v="Card"/>
    <x v="1"/>
    <n v="10"/>
    <x v="1"/>
    <x v="1"/>
  </r>
  <r>
    <s v="CUST1569"/>
    <d v="2022-08-29T00:00:00"/>
    <m/>
    <n v="39"/>
    <s v="Female"/>
    <s v="Bangalore"/>
    <x v="1"/>
    <n v="5513.96"/>
    <n v="2"/>
    <n v="15"/>
    <s v="Card"/>
    <x v="0"/>
    <n v="42"/>
    <x v="0"/>
    <x v="2"/>
  </r>
  <r>
    <s v="CUST1570"/>
    <d v="2023-12-29T00:00:00"/>
    <m/>
    <n v="51"/>
    <s v="Male"/>
    <s v="Bangalore"/>
    <x v="0"/>
    <n v="5733"/>
    <n v="8"/>
    <n v="54"/>
    <s v="UPI"/>
    <x v="0"/>
    <n v="26"/>
    <x v="1"/>
    <x v="1"/>
  </r>
  <r>
    <s v="CUST1571"/>
    <d v="2024-03-07T00:00:00"/>
    <m/>
    <n v="41"/>
    <s v="Female"/>
    <s v="Mumbai"/>
    <x v="2"/>
    <n v="2431.6"/>
    <n v="3"/>
    <n v="31"/>
    <s v="UPI"/>
    <x v="0"/>
    <n v="24"/>
    <x v="0"/>
    <x v="2"/>
  </r>
  <r>
    <s v="CUST1572"/>
    <d v="2023-11-16T00:00:00"/>
    <m/>
    <n v="23"/>
    <s v="Male"/>
    <s v="Pune"/>
    <x v="2"/>
    <n v="13242.54"/>
    <n v="12"/>
    <n v="67"/>
    <s v="UPI"/>
    <x v="0"/>
    <n v="28"/>
    <x v="1"/>
    <x v="0"/>
  </r>
  <r>
    <s v="CUST1573"/>
    <d v="2022-10-20T00:00:00"/>
    <m/>
    <n v="37"/>
    <s v="Female"/>
    <s v="Mumbai"/>
    <x v="1"/>
    <n v="22091.82"/>
    <n v="26"/>
    <n v="94"/>
    <s v="UPI"/>
    <x v="0"/>
    <n v="40"/>
    <x v="2"/>
    <x v="2"/>
  </r>
  <r>
    <s v="CUST1574"/>
    <d v="2022-02-01T00:00:00"/>
    <m/>
    <n v="58"/>
    <s v="Male"/>
    <s v="Mumbai"/>
    <x v="1"/>
    <n v="4969.45"/>
    <n v="1"/>
    <n v="16"/>
    <s v="UPI"/>
    <x v="0"/>
    <n v="49"/>
    <x v="0"/>
    <x v="1"/>
  </r>
  <r>
    <s v="CUST1575"/>
    <d v="2022-11-01T00:00:00"/>
    <m/>
    <n v="20"/>
    <s v="Female"/>
    <s v="Bangalore"/>
    <x v="1"/>
    <n v="12859.03"/>
    <n v="6"/>
    <n v="44"/>
    <s v="UPI"/>
    <x v="0"/>
    <n v="40"/>
    <x v="1"/>
    <x v="0"/>
  </r>
  <r>
    <s v="CUST1576"/>
    <d v="2023-07-07T00:00:00"/>
    <m/>
    <n v="44"/>
    <s v="Male"/>
    <s v="Delhi"/>
    <x v="2"/>
    <n v="5039.18"/>
    <n v="3"/>
    <n v="24"/>
    <s v="Card"/>
    <x v="0"/>
    <n v="32"/>
    <x v="0"/>
    <x v="2"/>
  </r>
  <r>
    <s v="CUST1577"/>
    <d v="2023-09-27T00:00:00"/>
    <m/>
    <n v="23"/>
    <s v="Female"/>
    <s v="Pune"/>
    <x v="2"/>
    <n v="19062.87"/>
    <n v="26"/>
    <n v="79"/>
    <s v="UPI"/>
    <x v="0"/>
    <n v="29"/>
    <x v="2"/>
    <x v="0"/>
  </r>
  <r>
    <s v="CUST1578"/>
    <d v="2022-07-07T00:00:00"/>
    <m/>
    <n v="29"/>
    <s v="Female"/>
    <s v="Delhi"/>
    <x v="0"/>
    <n v="7445.68"/>
    <n v="4"/>
    <n v="27"/>
    <s v="UPI"/>
    <x v="0"/>
    <n v="44"/>
    <x v="0"/>
    <x v="3"/>
  </r>
  <r>
    <s v="CUST1579"/>
    <d v="2022-09-13T00:00:00"/>
    <m/>
    <n v="56"/>
    <s v="Male"/>
    <s v="Hyderabad"/>
    <x v="1"/>
    <n v="29965.01"/>
    <n v="18"/>
    <n v="90"/>
    <s v="Card"/>
    <x v="0"/>
    <n v="42"/>
    <x v="2"/>
    <x v="1"/>
  </r>
  <r>
    <s v="CUST1580"/>
    <d v="2022-11-17T00:00:00"/>
    <m/>
    <n v="51"/>
    <s v="Male"/>
    <s v="Kolkata"/>
    <x v="2"/>
    <n v="5085.58"/>
    <n v="3"/>
    <n v="11"/>
    <s v="PayPal"/>
    <x v="0"/>
    <n v="40"/>
    <x v="0"/>
    <x v="1"/>
  </r>
  <r>
    <s v="CUST1581"/>
    <d v="2022-01-29T00:00:00"/>
    <d v="2022-08-13T00:00:00"/>
    <n v="38"/>
    <s v="Female"/>
    <s v="Mumbai"/>
    <x v="2"/>
    <n v="7797.59"/>
    <n v="6"/>
    <n v="14"/>
    <s v="Card"/>
    <x v="1"/>
    <n v="6"/>
    <x v="0"/>
    <x v="2"/>
  </r>
  <r>
    <s v="CUST1582"/>
    <d v="2022-01-08T00:00:00"/>
    <m/>
    <n v="21"/>
    <s v="Male"/>
    <s v="Bangalore"/>
    <x v="2"/>
    <n v="25122.82"/>
    <n v="18"/>
    <n v="98"/>
    <s v="UPI"/>
    <x v="0"/>
    <n v="50"/>
    <x v="2"/>
    <x v="0"/>
  </r>
  <r>
    <s v="CUST1583"/>
    <d v="2023-07-10T00:00:00"/>
    <d v="2024-04-18T00:00:00"/>
    <n v="22"/>
    <s v="Female"/>
    <s v="Hyderabad"/>
    <x v="1"/>
    <n v="3973.18"/>
    <n v="7"/>
    <n v="29"/>
    <s v="UPI"/>
    <x v="1"/>
    <n v="9"/>
    <x v="0"/>
    <x v="0"/>
  </r>
  <r>
    <s v="CUST1584"/>
    <d v="2022-12-13T00:00:00"/>
    <m/>
    <n v="24"/>
    <s v="Male"/>
    <s v="Kolkata"/>
    <x v="0"/>
    <n v="23387.78"/>
    <n v="12"/>
    <n v="78"/>
    <s v="UPI"/>
    <x v="0"/>
    <n v="39"/>
    <x v="2"/>
    <x v="0"/>
  </r>
  <r>
    <s v="CUST1585"/>
    <d v="2022-05-14T00:00:00"/>
    <d v="2023-05-11T00:00:00"/>
    <n v="41"/>
    <s v="Female"/>
    <s v="Delhi"/>
    <x v="2"/>
    <n v="14088.1"/>
    <n v="12"/>
    <n v="42"/>
    <s v="UPI"/>
    <x v="1"/>
    <n v="11"/>
    <x v="1"/>
    <x v="2"/>
  </r>
  <r>
    <s v="CUST1586"/>
    <d v="2022-11-29T00:00:00"/>
    <m/>
    <n v="33"/>
    <s v="Female"/>
    <s v="Mumbai"/>
    <x v="2"/>
    <n v="8850.02"/>
    <n v="11"/>
    <n v="57"/>
    <s v="Other"/>
    <x v="0"/>
    <n v="39"/>
    <x v="1"/>
    <x v="3"/>
  </r>
  <r>
    <s v="CUST1587"/>
    <d v="2024-04-13T00:00:00"/>
    <m/>
    <n v="47"/>
    <s v="Female"/>
    <s v="Bangalore"/>
    <x v="1"/>
    <n v="6958.53"/>
    <n v="10"/>
    <n v="69"/>
    <s v="Card"/>
    <x v="0"/>
    <n v="23"/>
    <x v="1"/>
    <x v="1"/>
  </r>
  <r>
    <s v="CUST1588"/>
    <d v="2022-08-02T00:00:00"/>
    <m/>
    <n v="54"/>
    <s v="Male"/>
    <s v="Delhi"/>
    <x v="0"/>
    <n v="7975.35"/>
    <n v="7"/>
    <n v="40"/>
    <s v="UPI"/>
    <x v="0"/>
    <n v="43"/>
    <x v="0"/>
    <x v="1"/>
  </r>
  <r>
    <s v="CUST1589"/>
    <d v="2023-08-25T00:00:00"/>
    <m/>
    <n v="25"/>
    <s v="Female"/>
    <s v="Hyderabad"/>
    <x v="2"/>
    <n v="14334.73"/>
    <n v="29"/>
    <n v="77"/>
    <s v="UPI"/>
    <x v="0"/>
    <n v="30"/>
    <x v="2"/>
    <x v="3"/>
  </r>
  <r>
    <s v="CUST1590"/>
    <d v="2023-11-24T00:00:00"/>
    <m/>
    <n v="56"/>
    <s v="Female"/>
    <s v="Delhi"/>
    <x v="1"/>
    <n v="8726.32"/>
    <n v="14"/>
    <n v="55"/>
    <s v="Other"/>
    <x v="0"/>
    <n v="27"/>
    <x v="1"/>
    <x v="1"/>
  </r>
  <r>
    <s v="CUST1591"/>
    <d v="2022-03-31T00:00:00"/>
    <d v="2023-02-20T00:00:00"/>
    <n v="24"/>
    <s v="Male"/>
    <s v="Bangalore"/>
    <x v="2"/>
    <n v="5400.81"/>
    <n v="3"/>
    <n v="37"/>
    <s v="Card"/>
    <x v="1"/>
    <n v="10"/>
    <x v="0"/>
    <x v="0"/>
  </r>
  <r>
    <s v="CUST1592"/>
    <d v="2023-01-14T00:00:00"/>
    <m/>
    <n v="29"/>
    <s v="Female"/>
    <s v="Hyderabad"/>
    <x v="1"/>
    <n v="4641.76"/>
    <n v="7"/>
    <n v="21"/>
    <s v="Card"/>
    <x v="0"/>
    <n v="38"/>
    <x v="0"/>
    <x v="3"/>
  </r>
  <r>
    <s v="CUST1593"/>
    <d v="2022-01-22T00:00:00"/>
    <m/>
    <n v="23"/>
    <s v="Female"/>
    <s v="Kolkata"/>
    <x v="1"/>
    <n v="8693.7900000000009"/>
    <n v="11"/>
    <n v="67"/>
    <s v="PayPal"/>
    <x v="0"/>
    <n v="49"/>
    <x v="1"/>
    <x v="0"/>
  </r>
  <r>
    <s v="CUST1594"/>
    <d v="2023-09-07T00:00:00"/>
    <m/>
    <n v="42"/>
    <s v="Male"/>
    <s v="Delhi"/>
    <x v="2"/>
    <n v="14282.02"/>
    <n v="16"/>
    <n v="86"/>
    <s v="UPI"/>
    <x v="0"/>
    <n v="30"/>
    <x v="2"/>
    <x v="2"/>
  </r>
  <r>
    <s v="CUST1595"/>
    <d v="2022-04-18T00:00:00"/>
    <d v="2023-04-09T00:00:00"/>
    <n v="47"/>
    <s v="Female"/>
    <s v="Hyderabad"/>
    <x v="2"/>
    <n v="3658.18"/>
    <n v="6"/>
    <n v="22"/>
    <s v="Card"/>
    <x v="1"/>
    <n v="11"/>
    <x v="0"/>
    <x v="1"/>
  </r>
  <r>
    <s v="CUST1596"/>
    <d v="2023-01-12T00:00:00"/>
    <d v="2023-07-14T00:00:00"/>
    <n v="28"/>
    <s v="Female"/>
    <s v="Mumbai"/>
    <x v="1"/>
    <n v="2963.39"/>
    <n v="6"/>
    <n v="37"/>
    <s v="PayPal"/>
    <x v="1"/>
    <n v="6"/>
    <x v="0"/>
    <x v="3"/>
  </r>
  <r>
    <s v="CUST1597"/>
    <d v="2022-06-15T00:00:00"/>
    <m/>
    <n v="47"/>
    <s v="Female"/>
    <s v="Pune"/>
    <x v="1"/>
    <n v="12333.24"/>
    <n v="12"/>
    <n v="49"/>
    <s v="Other"/>
    <x v="0"/>
    <n v="45"/>
    <x v="1"/>
    <x v="1"/>
  </r>
  <r>
    <s v="CUST1598"/>
    <d v="2024-03-04T00:00:00"/>
    <d v="2025-02-08T00:00:00"/>
    <n v="54"/>
    <s v="Male"/>
    <s v="Delhi"/>
    <x v="1"/>
    <n v="11340.64"/>
    <n v="11"/>
    <n v="42"/>
    <s v="Card"/>
    <x v="1"/>
    <n v="11"/>
    <x v="1"/>
    <x v="1"/>
  </r>
  <r>
    <s v="CUST1599"/>
    <d v="2023-01-18T00:00:00"/>
    <m/>
    <n v="43"/>
    <s v="Female"/>
    <s v="Kolkata"/>
    <x v="1"/>
    <n v="9520.68"/>
    <n v="13"/>
    <n v="69"/>
    <s v="Card"/>
    <x v="0"/>
    <n v="37"/>
    <x v="1"/>
    <x v="2"/>
  </r>
  <r>
    <s v="CUST1600"/>
    <d v="2023-08-04T00:00:00"/>
    <d v="2024-04-09T00:00:00"/>
    <n v="28"/>
    <s v="Male"/>
    <s v="Hyderabad"/>
    <x v="1"/>
    <n v="6654.87"/>
    <n v="3"/>
    <n v="39"/>
    <s v="UPI"/>
    <x v="1"/>
    <n v="8"/>
    <x v="0"/>
    <x v="3"/>
  </r>
  <r>
    <s v="CUST1601"/>
    <d v="2023-02-18T00:00:00"/>
    <m/>
    <n v="40"/>
    <s v="Female"/>
    <s v="Pune"/>
    <x v="1"/>
    <n v="6396.47"/>
    <n v="2"/>
    <n v="22"/>
    <s v="Card"/>
    <x v="0"/>
    <n v="36"/>
    <x v="0"/>
    <x v="2"/>
  </r>
  <r>
    <s v="CUST1602"/>
    <d v="2022-05-31T00:00:00"/>
    <m/>
    <n v="34"/>
    <s v="Female"/>
    <s v="Pune"/>
    <x v="2"/>
    <n v="15859.17"/>
    <n v="28"/>
    <n v="83"/>
    <s v="Card"/>
    <x v="0"/>
    <n v="45"/>
    <x v="2"/>
    <x v="3"/>
  </r>
  <r>
    <s v="CUST1603"/>
    <d v="2022-02-02T00:00:00"/>
    <d v="2022-06-18T00:00:00"/>
    <n v="34"/>
    <s v="Male"/>
    <s v="Kolkata"/>
    <x v="2"/>
    <n v="13162.39"/>
    <n v="7"/>
    <n v="43"/>
    <s v="Card"/>
    <x v="1"/>
    <n v="4"/>
    <x v="1"/>
    <x v="3"/>
  </r>
  <r>
    <s v="CUST1604"/>
    <d v="2024-04-11T00:00:00"/>
    <m/>
    <n v="52"/>
    <s v="Male"/>
    <s v="Hyderabad"/>
    <x v="1"/>
    <n v="12538.47"/>
    <n v="25"/>
    <n v="95"/>
    <s v="PayPal"/>
    <x v="0"/>
    <n v="23"/>
    <x v="2"/>
    <x v="1"/>
  </r>
  <r>
    <s v="CUST1605"/>
    <d v="2023-04-16T00:00:00"/>
    <m/>
    <n v="34"/>
    <s v="Male"/>
    <s v="Mumbai"/>
    <x v="2"/>
    <n v="19441.07"/>
    <n v="24"/>
    <n v="87"/>
    <s v="Card"/>
    <x v="0"/>
    <n v="35"/>
    <x v="2"/>
    <x v="3"/>
  </r>
  <r>
    <s v="CUST1606"/>
    <d v="2024-01-09T00:00:00"/>
    <m/>
    <n v="30"/>
    <s v="Female"/>
    <s v="Kolkata"/>
    <x v="1"/>
    <n v="7451.48"/>
    <n v="9"/>
    <n v="69"/>
    <s v="PayPal"/>
    <x v="0"/>
    <n v="26"/>
    <x v="1"/>
    <x v="3"/>
  </r>
  <r>
    <s v="CUST1607"/>
    <d v="2022-01-11T00:00:00"/>
    <m/>
    <n v="21"/>
    <s v="Male"/>
    <s v="Pune"/>
    <x v="0"/>
    <n v="14504.85"/>
    <n v="13"/>
    <n v="47"/>
    <s v="PayPal"/>
    <x v="0"/>
    <n v="50"/>
    <x v="1"/>
    <x v="0"/>
  </r>
  <r>
    <s v="CUST1608"/>
    <d v="2022-11-30T00:00:00"/>
    <m/>
    <n v="44"/>
    <s v="Male"/>
    <s v="Bangalore"/>
    <x v="2"/>
    <n v="28585.8"/>
    <n v="27"/>
    <n v="78"/>
    <s v="UPI"/>
    <x v="0"/>
    <n v="39"/>
    <x v="2"/>
    <x v="2"/>
  </r>
  <r>
    <s v="CUST1609"/>
    <d v="2023-11-07T00:00:00"/>
    <m/>
    <n v="46"/>
    <s v="Male"/>
    <s v="Bangalore"/>
    <x v="1"/>
    <n v="3979.8"/>
    <n v="7"/>
    <n v="30"/>
    <s v="Card"/>
    <x v="0"/>
    <n v="28"/>
    <x v="0"/>
    <x v="1"/>
  </r>
  <r>
    <s v="CUST1610"/>
    <d v="2023-07-05T00:00:00"/>
    <d v="2024-03-04T00:00:00"/>
    <n v="55"/>
    <s v="Female"/>
    <s v="Pune"/>
    <x v="1"/>
    <n v="7695.59"/>
    <n v="11"/>
    <n v="43"/>
    <s v="Card"/>
    <x v="1"/>
    <n v="7"/>
    <x v="1"/>
    <x v="1"/>
  </r>
  <r>
    <s v="CUST1611"/>
    <d v="2022-12-26T00:00:00"/>
    <d v="2023-11-26T00:00:00"/>
    <n v="43"/>
    <s v="Female"/>
    <s v="Kolkata"/>
    <x v="1"/>
    <n v="10001.07"/>
    <n v="14"/>
    <n v="58"/>
    <s v="Card"/>
    <x v="1"/>
    <n v="11"/>
    <x v="1"/>
    <x v="2"/>
  </r>
  <r>
    <s v="CUST1612"/>
    <d v="2023-09-17T00:00:00"/>
    <m/>
    <n v="53"/>
    <s v="Female"/>
    <s v="Pune"/>
    <x v="0"/>
    <n v="29383.05"/>
    <n v="25"/>
    <n v="87"/>
    <s v="PayPal"/>
    <x v="0"/>
    <n v="30"/>
    <x v="2"/>
    <x v="1"/>
  </r>
  <r>
    <s v="CUST1613"/>
    <d v="2023-04-10T00:00:00"/>
    <m/>
    <n v="40"/>
    <s v="Female"/>
    <s v="Mumbai"/>
    <x v="2"/>
    <n v="25295.55"/>
    <n v="16"/>
    <n v="95"/>
    <s v="UPI"/>
    <x v="0"/>
    <n v="35"/>
    <x v="2"/>
    <x v="2"/>
  </r>
  <r>
    <s v="CUST1614"/>
    <d v="2023-05-28T00:00:00"/>
    <m/>
    <n v="26"/>
    <s v="Female"/>
    <s v="Bangalore"/>
    <x v="1"/>
    <n v="25541.32"/>
    <n v="15"/>
    <n v="82"/>
    <s v="UPI"/>
    <x v="0"/>
    <n v="33"/>
    <x v="2"/>
    <x v="3"/>
  </r>
  <r>
    <s v="CUST1615"/>
    <d v="2022-03-24T00:00:00"/>
    <m/>
    <n v="19"/>
    <s v="Female"/>
    <s v="Bangalore"/>
    <x v="2"/>
    <n v="16020.45"/>
    <n v="20"/>
    <n v="89"/>
    <s v="Card"/>
    <x v="0"/>
    <n v="47"/>
    <x v="2"/>
    <x v="0"/>
  </r>
  <r>
    <s v="CUST1616"/>
    <d v="2024-02-14T00:00:00"/>
    <m/>
    <n v="49"/>
    <s v="Female"/>
    <s v="Pune"/>
    <x v="1"/>
    <n v="14441.35"/>
    <n v="8"/>
    <n v="67"/>
    <s v="UPI"/>
    <x v="0"/>
    <n v="25"/>
    <x v="1"/>
    <x v="1"/>
  </r>
  <r>
    <s v="CUST1617"/>
    <d v="2022-09-16T00:00:00"/>
    <d v="2022-10-19T00:00:00"/>
    <n v="59"/>
    <s v="Female"/>
    <s v="Delhi"/>
    <x v="1"/>
    <n v="5646.6"/>
    <n v="12"/>
    <n v="40"/>
    <s v="Other"/>
    <x v="1"/>
    <n v="1"/>
    <x v="0"/>
    <x v="1"/>
  </r>
  <r>
    <s v="CUST1618"/>
    <d v="2022-01-15T00:00:00"/>
    <m/>
    <n v="48"/>
    <s v="Male"/>
    <s v="Pune"/>
    <x v="2"/>
    <n v="13840.61"/>
    <n v="5"/>
    <n v="48"/>
    <s v="Card"/>
    <x v="0"/>
    <n v="50"/>
    <x v="1"/>
    <x v="1"/>
  </r>
  <r>
    <s v="CUST1619"/>
    <d v="2023-11-18T00:00:00"/>
    <m/>
    <n v="46"/>
    <s v="Female"/>
    <s v="Delhi"/>
    <x v="1"/>
    <n v="8310.43"/>
    <n v="5"/>
    <n v="60"/>
    <s v="Card"/>
    <x v="0"/>
    <n v="27"/>
    <x v="1"/>
    <x v="1"/>
  </r>
  <r>
    <s v="CUST1620"/>
    <d v="2022-11-19T00:00:00"/>
    <m/>
    <n v="22"/>
    <s v="Male"/>
    <s v="Pune"/>
    <x v="2"/>
    <n v="13521.63"/>
    <n v="13"/>
    <n v="66"/>
    <s v="PayPal"/>
    <x v="0"/>
    <n v="39"/>
    <x v="1"/>
    <x v="0"/>
  </r>
  <r>
    <s v="CUST1621"/>
    <d v="2022-10-15T00:00:00"/>
    <m/>
    <n v="53"/>
    <s v="Female"/>
    <s v="Hyderabad"/>
    <x v="1"/>
    <n v="8491.64"/>
    <n v="14"/>
    <n v="45"/>
    <s v="Card"/>
    <x v="0"/>
    <n v="41"/>
    <x v="1"/>
    <x v="1"/>
  </r>
  <r>
    <s v="CUST1622"/>
    <d v="2022-03-19T00:00:00"/>
    <m/>
    <n v="45"/>
    <s v="Male"/>
    <s v="Hyderabad"/>
    <x v="1"/>
    <n v="12621.17"/>
    <n v="13"/>
    <n v="47"/>
    <s v="Card"/>
    <x v="0"/>
    <n v="47"/>
    <x v="1"/>
    <x v="1"/>
  </r>
  <r>
    <s v="CUST1623"/>
    <d v="2023-04-22T00:00:00"/>
    <m/>
    <n v="54"/>
    <s v="Male"/>
    <s v="Kolkata"/>
    <x v="0"/>
    <n v="6297.47"/>
    <n v="11"/>
    <n v="59"/>
    <s v="PayPal"/>
    <x v="0"/>
    <n v="34"/>
    <x v="1"/>
    <x v="1"/>
  </r>
  <r>
    <s v="CUST1624"/>
    <d v="2022-06-19T00:00:00"/>
    <m/>
    <n v="57"/>
    <s v="Male"/>
    <s v="Pune"/>
    <x v="2"/>
    <n v="22114.41"/>
    <n v="21"/>
    <n v="77"/>
    <s v="PayPal"/>
    <x v="0"/>
    <n v="44"/>
    <x v="2"/>
    <x v="1"/>
  </r>
  <r>
    <s v="CUST1625"/>
    <d v="2022-06-04T00:00:00"/>
    <m/>
    <n v="44"/>
    <s v="Male"/>
    <s v="Hyderabad"/>
    <x v="1"/>
    <n v="22404.03"/>
    <n v="28"/>
    <n v="91"/>
    <s v="Other"/>
    <x v="0"/>
    <n v="45"/>
    <x v="2"/>
    <x v="2"/>
  </r>
  <r>
    <s v="CUST1626"/>
    <d v="2023-09-08T00:00:00"/>
    <d v="2024-03-19T00:00:00"/>
    <n v="27"/>
    <s v="Male"/>
    <s v="Kolkata"/>
    <x v="1"/>
    <n v="5392.75"/>
    <n v="7"/>
    <n v="25"/>
    <s v="Card"/>
    <x v="1"/>
    <n v="6"/>
    <x v="0"/>
    <x v="3"/>
  </r>
  <r>
    <s v="CUST1627"/>
    <d v="2024-02-26T00:00:00"/>
    <d v="2024-08-23T00:00:00"/>
    <n v="44"/>
    <s v="Male"/>
    <s v="Delhi"/>
    <x v="1"/>
    <n v="4688.0200000000004"/>
    <n v="6"/>
    <n v="33"/>
    <s v="UPI"/>
    <x v="1"/>
    <n v="5"/>
    <x v="0"/>
    <x v="2"/>
  </r>
  <r>
    <s v="CUST1628"/>
    <d v="2022-12-07T00:00:00"/>
    <d v="2023-09-14T00:00:00"/>
    <n v="47"/>
    <s v="Female"/>
    <s v="Hyderabad"/>
    <x v="2"/>
    <n v="5066.0200000000004"/>
    <n v="1"/>
    <n v="22"/>
    <s v="Card"/>
    <x v="1"/>
    <n v="9"/>
    <x v="0"/>
    <x v="1"/>
  </r>
  <r>
    <s v="CUST1629"/>
    <d v="2023-06-20T00:00:00"/>
    <d v="2024-06-13T00:00:00"/>
    <n v="37"/>
    <s v="Male"/>
    <s v="Kolkata"/>
    <x v="0"/>
    <n v="5551.92"/>
    <n v="2"/>
    <n v="39"/>
    <s v="UPI"/>
    <x v="1"/>
    <n v="11"/>
    <x v="0"/>
    <x v="2"/>
  </r>
  <r>
    <s v="CUST1630"/>
    <d v="2023-11-27T00:00:00"/>
    <d v="2024-06-18T00:00:00"/>
    <n v="22"/>
    <s v="Female"/>
    <s v="Bangalore"/>
    <x v="1"/>
    <n v="3670.24"/>
    <n v="4"/>
    <n v="32"/>
    <s v="PayPal"/>
    <x v="1"/>
    <n v="6"/>
    <x v="0"/>
    <x v="0"/>
  </r>
  <r>
    <s v="CUST1631"/>
    <d v="2022-12-15T00:00:00"/>
    <d v="2023-02-19T00:00:00"/>
    <n v="55"/>
    <s v="Female"/>
    <s v="Delhi"/>
    <x v="1"/>
    <n v="12794.77"/>
    <n v="13"/>
    <n v="60"/>
    <s v="Card"/>
    <x v="1"/>
    <n v="2"/>
    <x v="1"/>
    <x v="1"/>
  </r>
  <r>
    <s v="CUST1632"/>
    <d v="2024-06-10T00:00:00"/>
    <m/>
    <n v="46"/>
    <s v="Female"/>
    <s v="Kolkata"/>
    <x v="1"/>
    <n v="13006.42"/>
    <n v="6"/>
    <n v="59"/>
    <s v="UPI"/>
    <x v="0"/>
    <n v="21"/>
    <x v="1"/>
    <x v="1"/>
  </r>
  <r>
    <s v="CUST1633"/>
    <d v="2023-05-21T00:00:00"/>
    <d v="2024-01-31T00:00:00"/>
    <n v="59"/>
    <s v="Female"/>
    <s v="Bangalore"/>
    <x v="1"/>
    <n v="4966.49"/>
    <n v="6"/>
    <n v="18"/>
    <s v="UPI"/>
    <x v="1"/>
    <n v="8"/>
    <x v="0"/>
    <x v="1"/>
  </r>
  <r>
    <s v="CUST1634"/>
    <d v="2023-12-21T00:00:00"/>
    <m/>
    <n v="33"/>
    <s v="Female"/>
    <s v="Mumbai"/>
    <x v="2"/>
    <n v="28396.57"/>
    <n v="19"/>
    <n v="75"/>
    <s v="Card"/>
    <x v="0"/>
    <n v="26"/>
    <x v="2"/>
    <x v="3"/>
  </r>
  <r>
    <s v="CUST1635"/>
    <d v="2024-03-24T00:00:00"/>
    <m/>
    <n v="46"/>
    <s v="Female"/>
    <s v="Pune"/>
    <x v="1"/>
    <n v="6093.95"/>
    <n v="8"/>
    <n v="55"/>
    <s v="Card"/>
    <x v="0"/>
    <n v="23"/>
    <x v="1"/>
    <x v="1"/>
  </r>
  <r>
    <s v="CUST1636"/>
    <d v="2024-05-15T00:00:00"/>
    <d v="2024-07-22T00:00:00"/>
    <n v="33"/>
    <s v="Female"/>
    <s v="Mumbai"/>
    <x v="2"/>
    <n v="5338.19"/>
    <n v="7"/>
    <n v="67"/>
    <s v="Card"/>
    <x v="1"/>
    <n v="2"/>
    <x v="1"/>
    <x v="3"/>
  </r>
  <r>
    <s v="CUST1637"/>
    <d v="2024-02-09T00:00:00"/>
    <m/>
    <n v="42"/>
    <s v="Male"/>
    <s v="Kolkata"/>
    <x v="1"/>
    <n v="26241.15"/>
    <n v="26"/>
    <n v="71"/>
    <s v="PayPal"/>
    <x v="0"/>
    <n v="25"/>
    <x v="2"/>
    <x v="2"/>
  </r>
  <r>
    <s v="CUST1638"/>
    <d v="2024-03-03T00:00:00"/>
    <m/>
    <n v="47"/>
    <s v="Male"/>
    <s v="Mumbai"/>
    <x v="1"/>
    <n v="14415.71"/>
    <n v="7"/>
    <n v="61"/>
    <s v="UPI"/>
    <x v="0"/>
    <n v="24"/>
    <x v="1"/>
    <x v="1"/>
  </r>
  <r>
    <s v="CUST1639"/>
    <d v="2023-09-08T00:00:00"/>
    <d v="2023-12-16T00:00:00"/>
    <n v="19"/>
    <s v="Female"/>
    <s v="Pune"/>
    <x v="2"/>
    <n v="3765.31"/>
    <n v="7"/>
    <n v="13"/>
    <s v="UPI"/>
    <x v="1"/>
    <n v="3"/>
    <x v="0"/>
    <x v="0"/>
  </r>
  <r>
    <s v="CUST1640"/>
    <d v="2024-04-06T00:00:00"/>
    <m/>
    <n v="37"/>
    <s v="Female"/>
    <s v="Kolkata"/>
    <x v="2"/>
    <n v="25514.05"/>
    <n v="21"/>
    <n v="91"/>
    <s v="Card"/>
    <x v="0"/>
    <n v="23"/>
    <x v="2"/>
    <x v="2"/>
  </r>
  <r>
    <s v="CUST1641"/>
    <d v="2024-03-15T00:00:00"/>
    <d v="2024-06-26T00:00:00"/>
    <n v="59"/>
    <s v="Male"/>
    <s v="Pune"/>
    <x v="1"/>
    <n v="6698.52"/>
    <n v="8"/>
    <n v="62"/>
    <s v="PayPal"/>
    <x v="1"/>
    <n v="3"/>
    <x v="1"/>
    <x v="1"/>
  </r>
  <r>
    <s v="CUST1642"/>
    <d v="2023-07-09T00:00:00"/>
    <d v="2023-09-27T00:00:00"/>
    <n v="50"/>
    <s v="Male"/>
    <s v="Pune"/>
    <x v="1"/>
    <n v="9444.92"/>
    <n v="13"/>
    <n v="67"/>
    <s v="Card"/>
    <x v="1"/>
    <n v="2"/>
    <x v="1"/>
    <x v="1"/>
  </r>
  <r>
    <s v="CUST1643"/>
    <d v="2022-02-17T00:00:00"/>
    <m/>
    <n v="36"/>
    <s v="Male"/>
    <s v="Mumbai"/>
    <x v="1"/>
    <n v="26762.01"/>
    <n v="15"/>
    <n v="74"/>
    <s v="UPI"/>
    <x v="0"/>
    <n v="49"/>
    <x v="2"/>
    <x v="2"/>
  </r>
  <r>
    <s v="CUST1644"/>
    <d v="2024-05-04T00:00:00"/>
    <m/>
    <n v="21"/>
    <s v="Female"/>
    <s v="Hyderabad"/>
    <x v="1"/>
    <n v="6221.73"/>
    <n v="5"/>
    <n v="50"/>
    <s v="Card"/>
    <x v="0"/>
    <n v="22"/>
    <x v="1"/>
    <x v="0"/>
  </r>
  <r>
    <s v="CUST1645"/>
    <d v="2023-03-04T00:00:00"/>
    <d v="2023-11-30T00:00:00"/>
    <n v="50"/>
    <s v="Male"/>
    <s v="Kolkata"/>
    <x v="1"/>
    <n v="21158.17"/>
    <n v="12"/>
    <n v="92"/>
    <s v="PayPal"/>
    <x v="1"/>
    <n v="8"/>
    <x v="2"/>
    <x v="1"/>
  </r>
  <r>
    <s v="CUST1646"/>
    <d v="2024-06-16T00:00:00"/>
    <m/>
    <n v="42"/>
    <s v="Female"/>
    <s v="Mumbai"/>
    <x v="2"/>
    <n v="22270.05"/>
    <n v="21"/>
    <n v="87"/>
    <s v="Card"/>
    <x v="0"/>
    <n v="21"/>
    <x v="2"/>
    <x v="2"/>
  </r>
  <r>
    <s v="CUST1647"/>
    <d v="2023-08-20T00:00:00"/>
    <m/>
    <n v="53"/>
    <s v="Male"/>
    <s v="Hyderabad"/>
    <x v="1"/>
    <n v="3426.57"/>
    <n v="6"/>
    <n v="22"/>
    <s v="Card"/>
    <x v="0"/>
    <n v="30"/>
    <x v="0"/>
    <x v="1"/>
  </r>
  <r>
    <s v="CUST1648"/>
    <d v="2022-07-20T00:00:00"/>
    <m/>
    <n v="18"/>
    <s v="Female"/>
    <s v="Delhi"/>
    <x v="1"/>
    <n v="18323.38"/>
    <n v="20"/>
    <n v="76"/>
    <s v="PayPal"/>
    <x v="0"/>
    <n v="43"/>
    <x v="2"/>
    <x v="0"/>
  </r>
  <r>
    <s v="CUST1649"/>
    <d v="2022-12-10T00:00:00"/>
    <d v="2023-09-21T00:00:00"/>
    <n v="33"/>
    <s v="Male"/>
    <s v="Hyderabad"/>
    <x v="1"/>
    <n v="19444.169999999998"/>
    <n v="21"/>
    <n v="72"/>
    <s v="Card"/>
    <x v="1"/>
    <n v="9"/>
    <x v="2"/>
    <x v="3"/>
  </r>
  <r>
    <s v="CUST1650"/>
    <d v="2023-11-18T00:00:00"/>
    <m/>
    <n v="42"/>
    <s v="Male"/>
    <s v="Hyderabad"/>
    <x v="2"/>
    <n v="6980.25"/>
    <n v="3"/>
    <n v="39"/>
    <s v="UPI"/>
    <x v="0"/>
    <n v="27"/>
    <x v="0"/>
    <x v="2"/>
  </r>
  <r>
    <s v="CUST1651"/>
    <d v="2024-03-30T00:00:00"/>
    <d v="2024-12-13T00:00:00"/>
    <n v="52"/>
    <s v="Male"/>
    <s v="Mumbai"/>
    <x v="2"/>
    <n v="4772.1499999999996"/>
    <n v="5"/>
    <n v="26"/>
    <s v="Card"/>
    <x v="1"/>
    <n v="8"/>
    <x v="0"/>
    <x v="1"/>
  </r>
  <r>
    <s v="CUST1652"/>
    <d v="2023-01-17T00:00:00"/>
    <d v="2023-04-21T00:00:00"/>
    <n v="28"/>
    <s v="Male"/>
    <s v="Pune"/>
    <x v="1"/>
    <n v="7663.93"/>
    <n v="6"/>
    <n v="44"/>
    <s v="UPI"/>
    <x v="1"/>
    <n v="3"/>
    <x v="1"/>
    <x v="3"/>
  </r>
  <r>
    <s v="CUST1653"/>
    <d v="2023-06-24T00:00:00"/>
    <m/>
    <n v="41"/>
    <s v="Female"/>
    <s v="Mumbai"/>
    <x v="1"/>
    <n v="5731.05"/>
    <n v="2"/>
    <n v="24"/>
    <s v="UPI"/>
    <x v="0"/>
    <n v="32"/>
    <x v="0"/>
    <x v="2"/>
  </r>
  <r>
    <s v="CUST1654"/>
    <d v="2022-10-19T00:00:00"/>
    <d v="2022-12-06T00:00:00"/>
    <n v="52"/>
    <s v="Male"/>
    <s v="Hyderabad"/>
    <x v="2"/>
    <n v="2896.05"/>
    <n v="2"/>
    <n v="25"/>
    <s v="UPI"/>
    <x v="1"/>
    <n v="1"/>
    <x v="0"/>
    <x v="1"/>
  </r>
  <r>
    <s v="CUST1655"/>
    <d v="2022-07-26T00:00:00"/>
    <m/>
    <n v="38"/>
    <s v="Female"/>
    <s v="Delhi"/>
    <x v="1"/>
    <n v="6364.67"/>
    <n v="9"/>
    <n v="57"/>
    <s v="UPI"/>
    <x v="0"/>
    <n v="43"/>
    <x v="1"/>
    <x v="2"/>
  </r>
  <r>
    <s v="CUST1656"/>
    <d v="2022-05-31T00:00:00"/>
    <d v="2023-04-04T00:00:00"/>
    <n v="21"/>
    <s v="Female"/>
    <s v="Mumbai"/>
    <x v="0"/>
    <n v="8377.9699999999993"/>
    <n v="5"/>
    <n v="44"/>
    <s v="UPI"/>
    <x v="1"/>
    <n v="10"/>
    <x v="1"/>
    <x v="0"/>
  </r>
  <r>
    <s v="CUST1657"/>
    <d v="2023-09-21T00:00:00"/>
    <m/>
    <n v="31"/>
    <s v="Male"/>
    <s v="Bangalore"/>
    <x v="1"/>
    <n v="6258.59"/>
    <n v="5"/>
    <n v="62"/>
    <s v="Card"/>
    <x v="0"/>
    <n v="29"/>
    <x v="1"/>
    <x v="3"/>
  </r>
  <r>
    <s v="CUST1658"/>
    <d v="2023-08-25T00:00:00"/>
    <m/>
    <n v="44"/>
    <s v="Male"/>
    <s v="Hyderabad"/>
    <x v="2"/>
    <n v="20443.490000000002"/>
    <n v="24"/>
    <n v="94"/>
    <s v="UPI"/>
    <x v="0"/>
    <n v="30"/>
    <x v="2"/>
    <x v="2"/>
  </r>
  <r>
    <s v="CUST1659"/>
    <d v="2022-04-28T00:00:00"/>
    <m/>
    <n v="50"/>
    <s v="Female"/>
    <s v="Mumbai"/>
    <x v="2"/>
    <n v="24750.61"/>
    <n v="15"/>
    <n v="79"/>
    <s v="Card"/>
    <x v="0"/>
    <n v="46"/>
    <x v="2"/>
    <x v="1"/>
  </r>
  <r>
    <s v="CUST1660"/>
    <d v="2023-12-03T00:00:00"/>
    <d v="2024-11-30T00:00:00"/>
    <n v="33"/>
    <s v="Female"/>
    <s v="Bangalore"/>
    <x v="0"/>
    <n v="4148.41"/>
    <n v="4"/>
    <n v="18"/>
    <s v="UPI"/>
    <x v="1"/>
    <n v="11"/>
    <x v="0"/>
    <x v="3"/>
  </r>
  <r>
    <s v="CUST1661"/>
    <d v="2024-03-04T00:00:00"/>
    <d v="2024-06-16T00:00:00"/>
    <n v="19"/>
    <s v="Male"/>
    <s v="Delhi"/>
    <x v="1"/>
    <n v="11313.95"/>
    <n v="8"/>
    <n v="45"/>
    <s v="Card"/>
    <x v="1"/>
    <n v="3"/>
    <x v="1"/>
    <x v="0"/>
  </r>
  <r>
    <s v="CUST1662"/>
    <d v="2023-06-27T00:00:00"/>
    <m/>
    <n v="50"/>
    <s v="Female"/>
    <s v="Mumbai"/>
    <x v="2"/>
    <n v="14592.15"/>
    <n v="29"/>
    <n v="95"/>
    <s v="UPI"/>
    <x v="0"/>
    <n v="32"/>
    <x v="2"/>
    <x v="1"/>
  </r>
  <r>
    <s v="CUST1663"/>
    <d v="2022-04-17T00:00:00"/>
    <m/>
    <n v="19"/>
    <s v="Male"/>
    <s v="Kolkata"/>
    <x v="1"/>
    <n v="8025.33"/>
    <n v="14"/>
    <n v="49"/>
    <s v="Card"/>
    <x v="0"/>
    <n v="47"/>
    <x v="1"/>
    <x v="0"/>
  </r>
  <r>
    <s v="CUST1664"/>
    <d v="2023-08-12T00:00:00"/>
    <m/>
    <n v="40"/>
    <s v="Male"/>
    <s v="Kolkata"/>
    <x v="2"/>
    <n v="29531.45"/>
    <n v="29"/>
    <n v="78"/>
    <s v="Other"/>
    <x v="0"/>
    <n v="31"/>
    <x v="2"/>
    <x v="2"/>
  </r>
  <r>
    <s v="CUST1665"/>
    <d v="2023-03-18T00:00:00"/>
    <m/>
    <n v="19"/>
    <s v="Male"/>
    <s v="Pune"/>
    <x v="1"/>
    <n v="6500.83"/>
    <n v="6"/>
    <n v="58"/>
    <s v="PayPal"/>
    <x v="0"/>
    <n v="35"/>
    <x v="1"/>
    <x v="0"/>
  </r>
  <r>
    <s v="CUST1666"/>
    <d v="2024-05-05T00:00:00"/>
    <m/>
    <n v="39"/>
    <s v="Male"/>
    <s v="Hyderabad"/>
    <x v="2"/>
    <n v="16399.13"/>
    <n v="17"/>
    <n v="91"/>
    <s v="PayPal"/>
    <x v="0"/>
    <n v="22"/>
    <x v="2"/>
    <x v="2"/>
  </r>
  <r>
    <s v="CUST1667"/>
    <d v="2024-05-20T00:00:00"/>
    <m/>
    <n v="59"/>
    <s v="Female"/>
    <s v="Kolkata"/>
    <x v="1"/>
    <n v="5683.68"/>
    <n v="3"/>
    <n v="24"/>
    <s v="PayPal"/>
    <x v="0"/>
    <n v="21"/>
    <x v="0"/>
    <x v="1"/>
  </r>
  <r>
    <s v="CUST1668"/>
    <d v="2024-02-01T00:00:00"/>
    <m/>
    <n v="54"/>
    <s v="Male"/>
    <s v="Bangalore"/>
    <x v="0"/>
    <n v="17996.45"/>
    <n v="20"/>
    <n v="79"/>
    <s v="UPI"/>
    <x v="0"/>
    <n v="25"/>
    <x v="2"/>
    <x v="1"/>
  </r>
  <r>
    <s v="CUST1669"/>
    <d v="2022-09-06T00:00:00"/>
    <m/>
    <n v="32"/>
    <s v="Female"/>
    <s v="Pune"/>
    <x v="1"/>
    <n v="26895.73"/>
    <n v="12"/>
    <n v="85"/>
    <s v="Card"/>
    <x v="0"/>
    <n v="42"/>
    <x v="2"/>
    <x v="3"/>
  </r>
  <r>
    <s v="CUST1670"/>
    <d v="2023-03-20T00:00:00"/>
    <m/>
    <n v="26"/>
    <s v="Female"/>
    <s v="Delhi"/>
    <x v="2"/>
    <n v="7071.53"/>
    <n v="1"/>
    <n v="17"/>
    <s v="UPI"/>
    <x v="0"/>
    <n v="35"/>
    <x v="0"/>
    <x v="3"/>
  </r>
  <r>
    <s v="CUST1671"/>
    <d v="2023-08-24T00:00:00"/>
    <m/>
    <n v="46"/>
    <s v="Male"/>
    <s v="Kolkata"/>
    <x v="1"/>
    <n v="12617.65"/>
    <n v="5"/>
    <n v="43"/>
    <s v="Card"/>
    <x v="0"/>
    <n v="30"/>
    <x v="1"/>
    <x v="1"/>
  </r>
  <r>
    <s v="CUST1672"/>
    <d v="2022-12-09T00:00:00"/>
    <d v="2023-03-22T00:00:00"/>
    <n v="37"/>
    <s v="Male"/>
    <s v="Delhi"/>
    <x v="1"/>
    <n v="6688.76"/>
    <n v="4"/>
    <n v="20"/>
    <s v="Card"/>
    <x v="1"/>
    <n v="3"/>
    <x v="0"/>
    <x v="2"/>
  </r>
  <r>
    <s v="CUST1673"/>
    <d v="2022-06-05T00:00:00"/>
    <m/>
    <n v="21"/>
    <s v="Female"/>
    <s v="Hyderabad"/>
    <x v="1"/>
    <n v="14367.93"/>
    <n v="14"/>
    <n v="66"/>
    <s v="UPI"/>
    <x v="0"/>
    <n v="45"/>
    <x v="1"/>
    <x v="0"/>
  </r>
  <r>
    <s v="CUST1674"/>
    <d v="2023-01-22T00:00:00"/>
    <d v="2023-07-20T00:00:00"/>
    <n v="27"/>
    <s v="Female"/>
    <s v="Kolkata"/>
    <x v="2"/>
    <n v="7567.72"/>
    <n v="6"/>
    <n v="18"/>
    <s v="Other"/>
    <x v="1"/>
    <n v="5"/>
    <x v="0"/>
    <x v="3"/>
  </r>
  <r>
    <s v="CUST1675"/>
    <d v="2024-03-29T00:00:00"/>
    <d v="2025-03-06T00:00:00"/>
    <n v="44"/>
    <s v="Female"/>
    <s v="Hyderabad"/>
    <x v="0"/>
    <n v="5813.96"/>
    <n v="1"/>
    <n v="20"/>
    <s v="Other"/>
    <x v="1"/>
    <n v="11"/>
    <x v="0"/>
    <x v="2"/>
  </r>
  <r>
    <s v="CUST1676"/>
    <d v="2023-02-07T00:00:00"/>
    <m/>
    <n v="41"/>
    <s v="Male"/>
    <s v="Hyderabad"/>
    <x v="1"/>
    <n v="7933.1"/>
    <n v="13"/>
    <n v="56"/>
    <s v="Card"/>
    <x v="0"/>
    <n v="37"/>
    <x v="1"/>
    <x v="2"/>
  </r>
  <r>
    <s v="CUST1677"/>
    <d v="2024-05-25T00:00:00"/>
    <d v="2025-03-16T00:00:00"/>
    <n v="19"/>
    <s v="Male"/>
    <s v="Delhi"/>
    <x v="1"/>
    <n v="4547.25"/>
    <n v="6"/>
    <n v="16"/>
    <s v="Card"/>
    <x v="1"/>
    <n v="9"/>
    <x v="0"/>
    <x v="0"/>
  </r>
  <r>
    <s v="CUST1678"/>
    <d v="2023-05-01T00:00:00"/>
    <d v="2023-07-23T00:00:00"/>
    <n v="41"/>
    <s v="Male"/>
    <s v="Pune"/>
    <x v="0"/>
    <n v="3524.38"/>
    <n v="5"/>
    <n v="20"/>
    <s v="UPI"/>
    <x v="1"/>
    <n v="2"/>
    <x v="0"/>
    <x v="2"/>
  </r>
  <r>
    <s v="CUST1679"/>
    <d v="2023-06-14T00:00:00"/>
    <m/>
    <n v="45"/>
    <s v="Female"/>
    <s v="Mumbai"/>
    <x v="2"/>
    <n v="4149.0200000000004"/>
    <n v="2"/>
    <n v="28"/>
    <s v="Card"/>
    <x v="0"/>
    <n v="33"/>
    <x v="0"/>
    <x v="1"/>
  </r>
  <r>
    <s v="CUST1680"/>
    <d v="2022-02-22T00:00:00"/>
    <d v="2022-06-24T00:00:00"/>
    <n v="36"/>
    <s v="Female"/>
    <s v="Delhi"/>
    <x v="1"/>
    <n v="4073.42"/>
    <n v="6"/>
    <n v="28"/>
    <s v="PayPal"/>
    <x v="1"/>
    <n v="4"/>
    <x v="0"/>
    <x v="2"/>
  </r>
  <r>
    <s v="CUST1681"/>
    <d v="2023-04-11T00:00:00"/>
    <d v="2023-12-07T00:00:00"/>
    <n v="45"/>
    <s v="Female"/>
    <s v="Delhi"/>
    <x v="2"/>
    <n v="4250.68"/>
    <n v="6"/>
    <n v="29"/>
    <s v="PayPal"/>
    <x v="1"/>
    <n v="7"/>
    <x v="0"/>
    <x v="1"/>
  </r>
  <r>
    <s v="CUST1682"/>
    <d v="2023-06-01T00:00:00"/>
    <m/>
    <n v="28"/>
    <s v="Male"/>
    <s v="Bangalore"/>
    <x v="1"/>
    <n v="7291.78"/>
    <n v="7"/>
    <n v="10"/>
    <s v="UPI"/>
    <x v="0"/>
    <n v="33"/>
    <x v="0"/>
    <x v="3"/>
  </r>
  <r>
    <s v="CUST1683"/>
    <d v="2023-08-25T00:00:00"/>
    <m/>
    <n v="49"/>
    <s v="Male"/>
    <s v="Hyderabad"/>
    <x v="1"/>
    <n v="9227.6200000000008"/>
    <n v="6"/>
    <n v="49"/>
    <s v="PayPal"/>
    <x v="0"/>
    <n v="30"/>
    <x v="1"/>
    <x v="1"/>
  </r>
  <r>
    <s v="CUST1684"/>
    <d v="2022-08-10T00:00:00"/>
    <d v="2022-09-13T00:00:00"/>
    <n v="38"/>
    <s v="Male"/>
    <s v="Hyderabad"/>
    <x v="1"/>
    <n v="6795.35"/>
    <n v="1"/>
    <n v="21"/>
    <s v="Card"/>
    <x v="1"/>
    <n v="1"/>
    <x v="0"/>
    <x v="2"/>
  </r>
  <r>
    <s v="CUST1685"/>
    <d v="2024-04-23T00:00:00"/>
    <m/>
    <n v="21"/>
    <s v="Male"/>
    <s v="Delhi"/>
    <x v="1"/>
    <n v="4047.25"/>
    <n v="3"/>
    <n v="38"/>
    <s v="PayPal"/>
    <x v="0"/>
    <n v="22"/>
    <x v="0"/>
    <x v="0"/>
  </r>
  <r>
    <s v="CUST1686"/>
    <d v="2023-09-06T00:00:00"/>
    <d v="2024-05-04T00:00:00"/>
    <n v="58"/>
    <s v="Female"/>
    <s v="Bangalore"/>
    <x v="1"/>
    <n v="6472.14"/>
    <n v="3"/>
    <n v="36"/>
    <s v="Card"/>
    <x v="1"/>
    <n v="7"/>
    <x v="0"/>
    <x v="1"/>
  </r>
  <r>
    <s v="CUST1687"/>
    <d v="2024-02-06T00:00:00"/>
    <m/>
    <n v="57"/>
    <s v="Male"/>
    <s v="Hyderabad"/>
    <x v="1"/>
    <n v="8753.6"/>
    <n v="7"/>
    <n v="46"/>
    <s v="UPI"/>
    <x v="0"/>
    <n v="25"/>
    <x v="1"/>
    <x v="1"/>
  </r>
  <r>
    <s v="CUST1688"/>
    <d v="2022-08-12T00:00:00"/>
    <m/>
    <n v="44"/>
    <s v="Male"/>
    <s v="Bangalore"/>
    <x v="2"/>
    <n v="13030.54"/>
    <n v="6"/>
    <n v="64"/>
    <s v="PayPal"/>
    <x v="0"/>
    <n v="43"/>
    <x v="1"/>
    <x v="2"/>
  </r>
  <r>
    <s v="CUST1689"/>
    <d v="2023-07-25T00:00:00"/>
    <m/>
    <n v="50"/>
    <s v="Male"/>
    <s v="Pune"/>
    <x v="2"/>
    <n v="5532.71"/>
    <n v="2"/>
    <n v="35"/>
    <s v="UPI"/>
    <x v="0"/>
    <n v="31"/>
    <x v="0"/>
    <x v="1"/>
  </r>
  <r>
    <s v="CUST1690"/>
    <d v="2023-05-31T00:00:00"/>
    <d v="2024-04-16T00:00:00"/>
    <n v="57"/>
    <s v="Female"/>
    <s v="Mumbai"/>
    <x v="1"/>
    <n v="8069.07"/>
    <n v="11"/>
    <n v="63"/>
    <s v="PayPal"/>
    <x v="1"/>
    <n v="10"/>
    <x v="1"/>
    <x v="1"/>
  </r>
  <r>
    <s v="CUST1691"/>
    <d v="2023-03-30T00:00:00"/>
    <m/>
    <n v="31"/>
    <s v="Female"/>
    <s v="Pune"/>
    <x v="0"/>
    <n v="16791.009999999998"/>
    <n v="18"/>
    <n v="71"/>
    <s v="Card"/>
    <x v="0"/>
    <n v="35"/>
    <x v="2"/>
    <x v="3"/>
  </r>
  <r>
    <s v="CUST1692"/>
    <d v="2022-09-06T00:00:00"/>
    <m/>
    <n v="25"/>
    <s v="Female"/>
    <s v="Pune"/>
    <x v="1"/>
    <n v="5750.21"/>
    <n v="5"/>
    <n v="50"/>
    <s v="Card"/>
    <x v="0"/>
    <n v="42"/>
    <x v="1"/>
    <x v="3"/>
  </r>
  <r>
    <s v="CUST1693"/>
    <d v="2024-01-14T00:00:00"/>
    <d v="2024-05-27T00:00:00"/>
    <n v="44"/>
    <s v="Female"/>
    <s v="Hyderabad"/>
    <x v="2"/>
    <n v="3610.78"/>
    <n v="6"/>
    <n v="24"/>
    <s v="PayPal"/>
    <x v="1"/>
    <n v="4"/>
    <x v="0"/>
    <x v="2"/>
  </r>
  <r>
    <s v="CUST1694"/>
    <d v="2022-03-04T00:00:00"/>
    <m/>
    <n v="42"/>
    <s v="Female"/>
    <s v="Kolkata"/>
    <x v="2"/>
    <n v="3853.57"/>
    <n v="5"/>
    <n v="16"/>
    <s v="PayPal"/>
    <x v="0"/>
    <n v="48"/>
    <x v="0"/>
    <x v="2"/>
  </r>
  <r>
    <s v="CUST1695"/>
    <d v="2022-01-01T00:00:00"/>
    <d v="2022-12-23T00:00:00"/>
    <n v="45"/>
    <s v="Male"/>
    <s v="Bangalore"/>
    <x v="1"/>
    <n v="2897.02"/>
    <n v="7"/>
    <n v="18"/>
    <s v="UPI"/>
    <x v="1"/>
    <n v="11"/>
    <x v="0"/>
    <x v="1"/>
  </r>
  <r>
    <s v="CUST1696"/>
    <d v="2023-05-06T00:00:00"/>
    <m/>
    <n v="35"/>
    <s v="Male"/>
    <s v="Hyderabad"/>
    <x v="0"/>
    <n v="6023.7"/>
    <n v="5"/>
    <n v="18"/>
    <s v="UPI"/>
    <x v="0"/>
    <n v="34"/>
    <x v="0"/>
    <x v="2"/>
  </r>
  <r>
    <s v="CUST1697"/>
    <d v="2022-12-31T00:00:00"/>
    <d v="2023-10-19T00:00:00"/>
    <n v="47"/>
    <s v="Male"/>
    <s v="Delhi"/>
    <x v="2"/>
    <n v="7565.86"/>
    <n v="3"/>
    <n v="16"/>
    <s v="Card"/>
    <x v="1"/>
    <n v="9"/>
    <x v="0"/>
    <x v="1"/>
  </r>
  <r>
    <s v="CUST1698"/>
    <d v="2022-05-01T00:00:00"/>
    <m/>
    <n v="47"/>
    <s v="Female"/>
    <s v="Delhi"/>
    <x v="1"/>
    <n v="7862.4"/>
    <n v="3"/>
    <n v="16"/>
    <s v="Card"/>
    <x v="0"/>
    <n v="46"/>
    <x v="0"/>
    <x v="1"/>
  </r>
  <r>
    <s v="CUST1699"/>
    <d v="2022-03-21T00:00:00"/>
    <d v="2022-11-04T00:00:00"/>
    <n v="39"/>
    <s v="Male"/>
    <s v="Kolkata"/>
    <x v="1"/>
    <n v="8360.73"/>
    <n v="5"/>
    <n v="49"/>
    <s v="PayPal"/>
    <x v="1"/>
    <n v="7"/>
    <x v="1"/>
    <x v="2"/>
  </r>
  <r>
    <s v="CUST1700"/>
    <d v="2023-03-21T00:00:00"/>
    <m/>
    <n v="29"/>
    <s v="Other"/>
    <s v="Bangalore"/>
    <x v="2"/>
    <n v="14198.62"/>
    <n v="5"/>
    <n v="49"/>
    <s v="PayPal"/>
    <x v="0"/>
    <n v="35"/>
    <x v="1"/>
    <x v="3"/>
  </r>
  <r>
    <s v="CUST1701"/>
    <d v="2024-01-28T00:00:00"/>
    <m/>
    <n v="52"/>
    <s v="Female"/>
    <s v="Bangalore"/>
    <x v="1"/>
    <n v="4404.22"/>
    <n v="4"/>
    <n v="15"/>
    <s v="Card"/>
    <x v="0"/>
    <n v="25"/>
    <x v="0"/>
    <x v="1"/>
  </r>
  <r>
    <s v="CUST1702"/>
    <d v="2022-04-11T00:00:00"/>
    <d v="2022-09-28T00:00:00"/>
    <n v="24"/>
    <s v="Female"/>
    <s v="Pune"/>
    <x v="1"/>
    <n v="12031.48"/>
    <n v="13"/>
    <n v="59"/>
    <s v="UPI"/>
    <x v="1"/>
    <n v="5"/>
    <x v="1"/>
    <x v="0"/>
  </r>
  <r>
    <s v="CUST1703"/>
    <d v="2022-02-14T00:00:00"/>
    <d v="2022-07-01T00:00:00"/>
    <n v="23"/>
    <s v="Female"/>
    <s v="Delhi"/>
    <x v="1"/>
    <n v="11836.97"/>
    <n v="7"/>
    <n v="53"/>
    <s v="UPI"/>
    <x v="1"/>
    <n v="4"/>
    <x v="1"/>
    <x v="0"/>
  </r>
  <r>
    <s v="CUST1704"/>
    <d v="2023-10-16T00:00:00"/>
    <m/>
    <n v="27"/>
    <s v="Male"/>
    <s v="Kolkata"/>
    <x v="0"/>
    <n v="2905.46"/>
    <n v="4"/>
    <n v="33"/>
    <s v="UPI"/>
    <x v="0"/>
    <n v="29"/>
    <x v="0"/>
    <x v="3"/>
  </r>
  <r>
    <s v="CUST1705"/>
    <d v="2023-09-01T00:00:00"/>
    <m/>
    <n v="28"/>
    <s v="Female"/>
    <s v="Mumbai"/>
    <x v="1"/>
    <n v="24740.37"/>
    <n v="21"/>
    <n v="88"/>
    <s v="UPI"/>
    <x v="0"/>
    <n v="30"/>
    <x v="2"/>
    <x v="3"/>
  </r>
  <r>
    <s v="CUST1706"/>
    <d v="2022-04-27T00:00:00"/>
    <d v="2022-11-22T00:00:00"/>
    <n v="31"/>
    <s v="Male"/>
    <s v="Bangalore"/>
    <x v="1"/>
    <n v="28094.83"/>
    <n v="19"/>
    <n v="96"/>
    <s v="UPI"/>
    <x v="1"/>
    <n v="6"/>
    <x v="2"/>
    <x v="3"/>
  </r>
  <r>
    <s v="CUST1707"/>
    <d v="2023-07-22T00:00:00"/>
    <d v="2024-07-16T00:00:00"/>
    <n v="19"/>
    <s v="Female"/>
    <s v="Mumbai"/>
    <x v="0"/>
    <n v="7808.98"/>
    <n v="6"/>
    <n v="38"/>
    <s v="Card"/>
    <x v="1"/>
    <n v="11"/>
    <x v="0"/>
    <x v="0"/>
  </r>
  <r>
    <s v="CUST1708"/>
    <d v="2023-04-26T00:00:00"/>
    <m/>
    <n v="53"/>
    <s v="Male"/>
    <s v="Bangalore"/>
    <x v="1"/>
    <n v="13550.77"/>
    <n v="13"/>
    <n v="57"/>
    <s v="Card"/>
    <x v="0"/>
    <n v="34"/>
    <x v="1"/>
    <x v="1"/>
  </r>
  <r>
    <s v="CUST1709"/>
    <d v="2023-11-26T00:00:00"/>
    <d v="2024-01-14T00:00:00"/>
    <n v="23"/>
    <s v="Male"/>
    <s v="Delhi"/>
    <x v="1"/>
    <n v="5273.35"/>
    <n v="6"/>
    <n v="27"/>
    <s v="Card"/>
    <x v="1"/>
    <n v="1"/>
    <x v="0"/>
    <x v="0"/>
  </r>
  <r>
    <s v="CUST1710"/>
    <d v="2022-11-28T00:00:00"/>
    <d v="2023-04-12T00:00:00"/>
    <n v="22"/>
    <s v="Female"/>
    <s v="Kolkata"/>
    <x v="2"/>
    <n v="3055.4"/>
    <n v="3"/>
    <n v="19"/>
    <s v="Card"/>
    <x v="1"/>
    <n v="4"/>
    <x v="0"/>
    <x v="0"/>
  </r>
  <r>
    <s v="CUST1711"/>
    <d v="2022-08-24T00:00:00"/>
    <d v="2023-05-21T00:00:00"/>
    <n v="29"/>
    <s v="Female"/>
    <s v="Delhi"/>
    <x v="1"/>
    <n v="5900.59"/>
    <n v="5"/>
    <n v="23"/>
    <s v="Card"/>
    <x v="1"/>
    <n v="8"/>
    <x v="0"/>
    <x v="3"/>
  </r>
  <r>
    <s v="CUST1712"/>
    <d v="2022-07-13T00:00:00"/>
    <d v="2022-11-11T00:00:00"/>
    <n v="36"/>
    <s v="Male"/>
    <s v="Delhi"/>
    <x v="2"/>
    <n v="3139.71"/>
    <n v="4"/>
    <n v="19"/>
    <s v="Other"/>
    <x v="1"/>
    <n v="3"/>
    <x v="0"/>
    <x v="2"/>
  </r>
  <r>
    <s v="CUST1713"/>
    <d v="2022-12-19T00:00:00"/>
    <m/>
    <n v="27"/>
    <s v="Female"/>
    <s v="Mumbai"/>
    <x v="2"/>
    <n v="14287.05"/>
    <n v="11"/>
    <n v="48"/>
    <s v="PayPal"/>
    <x v="0"/>
    <n v="38"/>
    <x v="1"/>
    <x v="3"/>
  </r>
  <r>
    <s v="CUST1714"/>
    <d v="2024-01-14T00:00:00"/>
    <m/>
    <n v="22"/>
    <s v="Female"/>
    <s v="Bangalore"/>
    <x v="1"/>
    <n v="25681.61"/>
    <n v="28"/>
    <n v="81"/>
    <s v="UPI"/>
    <x v="0"/>
    <n v="26"/>
    <x v="2"/>
    <x v="0"/>
  </r>
  <r>
    <s v="CUST1715"/>
    <d v="2023-01-26T00:00:00"/>
    <m/>
    <n v="45"/>
    <s v="Male"/>
    <s v="Bangalore"/>
    <x v="1"/>
    <n v="21756.1"/>
    <n v="22"/>
    <n v="98"/>
    <s v="Card"/>
    <x v="0"/>
    <n v="37"/>
    <x v="2"/>
    <x v="1"/>
  </r>
  <r>
    <s v="CUST1716"/>
    <d v="2022-11-01T00:00:00"/>
    <m/>
    <n v="43"/>
    <s v="Female"/>
    <s v="Hyderabad"/>
    <x v="2"/>
    <n v="11944.4"/>
    <n v="14"/>
    <n v="54"/>
    <s v="UPI"/>
    <x v="0"/>
    <n v="40"/>
    <x v="1"/>
    <x v="2"/>
  </r>
  <r>
    <s v="CUST1717"/>
    <d v="2023-01-23T00:00:00"/>
    <d v="2023-11-12T00:00:00"/>
    <n v="20"/>
    <s v="Female"/>
    <s v="Pune"/>
    <x v="1"/>
    <n v="6881.29"/>
    <n v="2"/>
    <n v="12"/>
    <s v="UPI"/>
    <x v="1"/>
    <n v="9"/>
    <x v="0"/>
    <x v="0"/>
  </r>
  <r>
    <s v="CUST1718"/>
    <d v="2023-07-22T00:00:00"/>
    <m/>
    <n v="57"/>
    <s v="Male"/>
    <s v="Mumbai"/>
    <x v="2"/>
    <n v="23858.560000000001"/>
    <n v="22"/>
    <n v="70"/>
    <s v="Card"/>
    <x v="0"/>
    <n v="31"/>
    <x v="1"/>
    <x v="1"/>
  </r>
  <r>
    <s v="CUST1719"/>
    <d v="2022-08-08T00:00:00"/>
    <m/>
    <n v="59"/>
    <s v="Male"/>
    <s v="Bangalore"/>
    <x v="2"/>
    <n v="7875.75"/>
    <n v="10"/>
    <n v="54"/>
    <s v="PayPal"/>
    <x v="0"/>
    <n v="43"/>
    <x v="1"/>
    <x v="1"/>
  </r>
  <r>
    <s v="CUST1720"/>
    <d v="2023-09-09T00:00:00"/>
    <d v="2023-10-18T00:00:00"/>
    <n v="34"/>
    <s v="Male"/>
    <s v="Pune"/>
    <x v="1"/>
    <n v="3731.61"/>
    <n v="1"/>
    <n v="23"/>
    <s v="UPI"/>
    <x v="1"/>
    <n v="1"/>
    <x v="0"/>
    <x v="3"/>
  </r>
  <r>
    <s v="CUST1721"/>
    <d v="2022-10-14T00:00:00"/>
    <d v="2023-10-08T00:00:00"/>
    <n v="19"/>
    <s v="Male"/>
    <s v="Kolkata"/>
    <x v="2"/>
    <n v="9458.06"/>
    <n v="14"/>
    <n v="43"/>
    <s v="UPI"/>
    <x v="1"/>
    <n v="11"/>
    <x v="1"/>
    <x v="0"/>
  </r>
  <r>
    <s v="CUST1722"/>
    <d v="2024-03-05T00:00:00"/>
    <m/>
    <n v="52"/>
    <s v="Male"/>
    <s v="Pune"/>
    <x v="2"/>
    <n v="5536.98"/>
    <n v="10"/>
    <n v="67"/>
    <s v="Card"/>
    <x v="0"/>
    <n v="24"/>
    <x v="1"/>
    <x v="1"/>
  </r>
  <r>
    <s v="CUST1723"/>
    <d v="2022-10-30T00:00:00"/>
    <m/>
    <n v="48"/>
    <s v="Male"/>
    <s v="Delhi"/>
    <x v="1"/>
    <n v="20374.59"/>
    <n v="15"/>
    <n v="98"/>
    <s v="Card"/>
    <x v="0"/>
    <n v="40"/>
    <x v="2"/>
    <x v="1"/>
  </r>
  <r>
    <s v="CUST1724"/>
    <d v="2022-02-25T00:00:00"/>
    <m/>
    <n v="23"/>
    <s v="Female"/>
    <s v="Bangalore"/>
    <x v="2"/>
    <n v="23748.09"/>
    <n v="23"/>
    <n v="73"/>
    <s v="Card"/>
    <x v="0"/>
    <n v="48"/>
    <x v="2"/>
    <x v="0"/>
  </r>
  <r>
    <s v="CUST1725"/>
    <d v="2023-07-08T00:00:00"/>
    <d v="2023-09-26T00:00:00"/>
    <n v="56"/>
    <s v="Other"/>
    <s v="Hyderabad"/>
    <x v="1"/>
    <n v="4468.1899999999996"/>
    <n v="3"/>
    <n v="20"/>
    <s v="UPI"/>
    <x v="1"/>
    <n v="2"/>
    <x v="0"/>
    <x v="1"/>
  </r>
  <r>
    <s v="CUST1726"/>
    <d v="2024-04-02T00:00:00"/>
    <d v="2024-11-03T00:00:00"/>
    <n v="44"/>
    <s v="Female"/>
    <s v="Kolkata"/>
    <x v="1"/>
    <n v="3762.05"/>
    <n v="6"/>
    <n v="30"/>
    <s v="UPI"/>
    <x v="1"/>
    <n v="7"/>
    <x v="0"/>
    <x v="2"/>
  </r>
  <r>
    <s v="CUST1727"/>
    <d v="2023-05-15T00:00:00"/>
    <m/>
    <n v="29"/>
    <s v="Female"/>
    <s v="Hyderabad"/>
    <x v="1"/>
    <n v="24388.55"/>
    <n v="19"/>
    <n v="89"/>
    <s v="PayPal"/>
    <x v="0"/>
    <n v="34"/>
    <x v="2"/>
    <x v="3"/>
  </r>
  <r>
    <s v="CUST1728"/>
    <d v="2024-03-05T00:00:00"/>
    <m/>
    <n v="21"/>
    <s v="Female"/>
    <s v="Bangalore"/>
    <x v="2"/>
    <n v="5315.37"/>
    <n v="4"/>
    <n v="16"/>
    <s v="UPI"/>
    <x v="0"/>
    <n v="24"/>
    <x v="0"/>
    <x v="0"/>
  </r>
  <r>
    <s v="CUST1729"/>
    <d v="2022-04-02T00:00:00"/>
    <d v="2022-10-05T00:00:00"/>
    <n v="51"/>
    <s v="Female"/>
    <s v="Bangalore"/>
    <x v="1"/>
    <n v="4627.66"/>
    <n v="7"/>
    <n v="17"/>
    <s v="Card"/>
    <x v="1"/>
    <n v="6"/>
    <x v="0"/>
    <x v="1"/>
  </r>
  <r>
    <s v="CUST1730"/>
    <d v="2023-12-31T00:00:00"/>
    <m/>
    <n v="42"/>
    <s v="Other"/>
    <s v="Delhi"/>
    <x v="2"/>
    <n v="18993.71"/>
    <n v="21"/>
    <n v="85"/>
    <s v="PayPal"/>
    <x v="0"/>
    <n v="26"/>
    <x v="2"/>
    <x v="2"/>
  </r>
  <r>
    <s v="CUST1731"/>
    <d v="2023-10-24T00:00:00"/>
    <m/>
    <n v="32"/>
    <s v="Male"/>
    <s v="Pune"/>
    <x v="1"/>
    <n v="11282.21"/>
    <n v="8"/>
    <n v="40"/>
    <s v="UPI"/>
    <x v="0"/>
    <n v="28"/>
    <x v="0"/>
    <x v="3"/>
  </r>
  <r>
    <s v="CUST1732"/>
    <d v="2022-08-25T00:00:00"/>
    <d v="2022-10-02T00:00:00"/>
    <n v="35"/>
    <s v="Female"/>
    <s v="Mumbai"/>
    <x v="1"/>
    <n v="3236.04"/>
    <n v="6"/>
    <n v="14"/>
    <s v="Other"/>
    <x v="1"/>
    <n v="1"/>
    <x v="0"/>
    <x v="2"/>
  </r>
  <r>
    <s v="CUST1733"/>
    <d v="2023-12-16T00:00:00"/>
    <d v="2024-07-30T00:00:00"/>
    <n v="50"/>
    <s v="Male"/>
    <s v="Delhi"/>
    <x v="2"/>
    <n v="18416.060000000001"/>
    <n v="28"/>
    <n v="88"/>
    <s v="Card"/>
    <x v="1"/>
    <n v="7"/>
    <x v="2"/>
    <x v="1"/>
  </r>
  <r>
    <s v="CUST1734"/>
    <d v="2023-05-13T00:00:00"/>
    <d v="2023-09-18T00:00:00"/>
    <n v="19"/>
    <s v="Male"/>
    <s v="Pune"/>
    <x v="1"/>
    <n v="4414.12"/>
    <n v="4"/>
    <n v="16"/>
    <s v="Card"/>
    <x v="1"/>
    <n v="4"/>
    <x v="0"/>
    <x v="0"/>
  </r>
  <r>
    <s v="CUST1735"/>
    <d v="2022-12-20T00:00:00"/>
    <d v="2023-07-03T00:00:00"/>
    <n v="54"/>
    <s v="Female"/>
    <s v="Hyderabad"/>
    <x v="2"/>
    <n v="4171.68"/>
    <n v="6"/>
    <n v="18"/>
    <s v="PayPal"/>
    <x v="1"/>
    <n v="6"/>
    <x v="0"/>
    <x v="1"/>
  </r>
  <r>
    <s v="CUST1736"/>
    <d v="2022-02-07T00:00:00"/>
    <m/>
    <n v="42"/>
    <s v="Male"/>
    <s v="Hyderabad"/>
    <x v="1"/>
    <n v="18192.5"/>
    <n v="23"/>
    <n v="98"/>
    <s v="Card"/>
    <x v="0"/>
    <n v="49"/>
    <x v="2"/>
    <x v="2"/>
  </r>
  <r>
    <s v="CUST1737"/>
    <d v="2024-03-23T00:00:00"/>
    <d v="2025-02-03T00:00:00"/>
    <n v="43"/>
    <s v="Female"/>
    <s v="Pune"/>
    <x v="0"/>
    <n v="7316.21"/>
    <n v="5"/>
    <n v="23"/>
    <s v="Card"/>
    <x v="1"/>
    <n v="10"/>
    <x v="0"/>
    <x v="2"/>
  </r>
  <r>
    <s v="CUST1738"/>
    <d v="2023-11-21T00:00:00"/>
    <m/>
    <n v="38"/>
    <s v="Other"/>
    <s v="Pune"/>
    <x v="0"/>
    <n v="3150.43"/>
    <n v="1"/>
    <n v="39"/>
    <s v="UPI"/>
    <x v="0"/>
    <n v="27"/>
    <x v="0"/>
    <x v="2"/>
  </r>
  <r>
    <s v="CUST1739"/>
    <d v="2023-12-24T00:00:00"/>
    <m/>
    <n v="39"/>
    <s v="Male"/>
    <s v="Delhi"/>
    <x v="1"/>
    <n v="14684.61"/>
    <n v="11"/>
    <n v="49"/>
    <s v="UPI"/>
    <x v="0"/>
    <n v="26"/>
    <x v="1"/>
    <x v="2"/>
  </r>
  <r>
    <s v="CUST1740"/>
    <d v="2022-10-29T00:00:00"/>
    <d v="2023-09-06T00:00:00"/>
    <n v="39"/>
    <s v="Male"/>
    <s v="Bangalore"/>
    <x v="0"/>
    <n v="4386.63"/>
    <n v="5"/>
    <n v="26"/>
    <s v="Card"/>
    <x v="1"/>
    <n v="10"/>
    <x v="0"/>
    <x v="2"/>
  </r>
  <r>
    <s v="CUST1741"/>
    <d v="2024-04-29T00:00:00"/>
    <m/>
    <n v="32"/>
    <s v="Female"/>
    <s v="Hyderabad"/>
    <x v="0"/>
    <n v="27113.919999999998"/>
    <n v="21"/>
    <n v="99"/>
    <s v="Card"/>
    <x v="0"/>
    <n v="22"/>
    <x v="2"/>
    <x v="3"/>
  </r>
  <r>
    <s v="CUST1742"/>
    <d v="2022-11-08T00:00:00"/>
    <d v="2023-10-13T00:00:00"/>
    <n v="44"/>
    <s v="Female"/>
    <s v="Bangalore"/>
    <x v="1"/>
    <n v="3849.44"/>
    <n v="6"/>
    <n v="10"/>
    <s v="UPI"/>
    <x v="1"/>
    <n v="11"/>
    <x v="0"/>
    <x v="2"/>
  </r>
  <r>
    <s v="CUST1743"/>
    <d v="2023-05-10T00:00:00"/>
    <m/>
    <n v="31"/>
    <s v="Male"/>
    <s v="Kolkata"/>
    <x v="1"/>
    <n v="13291.63"/>
    <n v="5"/>
    <n v="42"/>
    <s v="UPI"/>
    <x v="0"/>
    <n v="34"/>
    <x v="1"/>
    <x v="3"/>
  </r>
  <r>
    <s v="CUST1744"/>
    <d v="2024-02-25T00:00:00"/>
    <m/>
    <n v="46"/>
    <s v="Female"/>
    <s v="Hyderabad"/>
    <x v="1"/>
    <n v="27431.26"/>
    <n v="18"/>
    <n v="84"/>
    <s v="Other"/>
    <x v="0"/>
    <n v="24"/>
    <x v="2"/>
    <x v="1"/>
  </r>
  <r>
    <s v="CUST1745"/>
    <d v="2022-08-15T00:00:00"/>
    <m/>
    <n v="18"/>
    <s v="Female"/>
    <s v="Kolkata"/>
    <x v="1"/>
    <n v="19615.55"/>
    <n v="16"/>
    <n v="84"/>
    <s v="Card"/>
    <x v="0"/>
    <n v="43"/>
    <x v="2"/>
    <x v="0"/>
  </r>
  <r>
    <s v="CUST1746"/>
    <d v="2024-06-05T00:00:00"/>
    <d v="2025-01-19T00:00:00"/>
    <n v="29"/>
    <s v="Female"/>
    <s v="Pune"/>
    <x v="1"/>
    <n v="10331.81"/>
    <n v="11"/>
    <n v="42"/>
    <s v="Card"/>
    <x v="1"/>
    <n v="7"/>
    <x v="1"/>
    <x v="3"/>
  </r>
  <r>
    <s v="CUST1747"/>
    <d v="2023-08-13T00:00:00"/>
    <d v="2024-01-08T00:00:00"/>
    <n v="19"/>
    <s v="Male"/>
    <s v="Bangalore"/>
    <x v="1"/>
    <n v="9875.93"/>
    <n v="8"/>
    <n v="67"/>
    <s v="UPI"/>
    <x v="1"/>
    <n v="4"/>
    <x v="1"/>
    <x v="0"/>
  </r>
  <r>
    <s v="CUST1748"/>
    <d v="2022-03-04T00:00:00"/>
    <m/>
    <n v="55"/>
    <s v="Male"/>
    <s v="Mumbai"/>
    <x v="1"/>
    <n v="22173.91"/>
    <n v="15"/>
    <n v="78"/>
    <s v="UPI"/>
    <x v="0"/>
    <n v="48"/>
    <x v="2"/>
    <x v="1"/>
  </r>
  <r>
    <s v="CUST1749"/>
    <d v="2023-07-14T00:00:00"/>
    <d v="2023-09-16T00:00:00"/>
    <n v="26"/>
    <s v="Female"/>
    <s v="Pune"/>
    <x v="1"/>
    <n v="13950.08"/>
    <n v="9"/>
    <n v="66"/>
    <s v="Card"/>
    <x v="1"/>
    <n v="2"/>
    <x v="1"/>
    <x v="3"/>
  </r>
  <r>
    <s v="CUST1750"/>
    <d v="2022-03-11T00:00:00"/>
    <m/>
    <n v="59"/>
    <s v="Male"/>
    <s v="Pune"/>
    <x v="1"/>
    <n v="22334.54"/>
    <n v="24"/>
    <n v="98"/>
    <s v="Card"/>
    <x v="0"/>
    <n v="48"/>
    <x v="2"/>
    <x v="1"/>
  </r>
  <r>
    <s v="CUST1751"/>
    <d v="2023-02-11T00:00:00"/>
    <m/>
    <n v="53"/>
    <s v="Female"/>
    <s v="Hyderabad"/>
    <x v="0"/>
    <n v="25757.8"/>
    <n v="12"/>
    <n v="85"/>
    <s v="Card"/>
    <x v="0"/>
    <n v="37"/>
    <x v="2"/>
    <x v="1"/>
  </r>
  <r>
    <s v="CUST1752"/>
    <d v="2023-07-07T00:00:00"/>
    <d v="2023-11-10T00:00:00"/>
    <n v="43"/>
    <s v="Male"/>
    <s v="Hyderabad"/>
    <x v="1"/>
    <n v="5017.7299999999996"/>
    <n v="11"/>
    <n v="62"/>
    <s v="Card"/>
    <x v="1"/>
    <n v="4"/>
    <x v="1"/>
    <x v="2"/>
  </r>
  <r>
    <s v="CUST1753"/>
    <d v="2024-03-30T00:00:00"/>
    <d v="2025-01-29T00:00:00"/>
    <n v="28"/>
    <s v="Female"/>
    <s v="Kolkata"/>
    <x v="2"/>
    <n v="11053.53"/>
    <n v="12"/>
    <n v="58"/>
    <s v="UPI"/>
    <x v="1"/>
    <n v="9"/>
    <x v="1"/>
    <x v="3"/>
  </r>
  <r>
    <s v="CUST1754"/>
    <d v="2023-08-01T00:00:00"/>
    <d v="2023-12-05T00:00:00"/>
    <n v="42"/>
    <s v="Female"/>
    <s v="Kolkata"/>
    <x v="1"/>
    <n v="5210.6000000000004"/>
    <n v="2"/>
    <n v="11"/>
    <s v="Card"/>
    <x v="1"/>
    <n v="4"/>
    <x v="0"/>
    <x v="2"/>
  </r>
  <r>
    <s v="CUST1755"/>
    <d v="2022-02-02T00:00:00"/>
    <d v="2022-10-25T00:00:00"/>
    <n v="50"/>
    <s v="Male"/>
    <s v="Delhi"/>
    <x v="2"/>
    <n v="22460.89"/>
    <n v="21"/>
    <n v="80"/>
    <s v="Card"/>
    <x v="1"/>
    <n v="8"/>
    <x v="2"/>
    <x v="1"/>
  </r>
  <r>
    <s v="CUST1756"/>
    <d v="2022-06-30T00:00:00"/>
    <d v="2023-04-18T00:00:00"/>
    <n v="23"/>
    <s v="Male"/>
    <s v="Delhi"/>
    <x v="2"/>
    <n v="7042.08"/>
    <n v="3"/>
    <n v="13"/>
    <s v="Other"/>
    <x v="1"/>
    <n v="9"/>
    <x v="0"/>
    <x v="0"/>
  </r>
  <r>
    <s v="CUST1757"/>
    <d v="2023-01-07T00:00:00"/>
    <m/>
    <n v="28"/>
    <s v="Female"/>
    <s v="Bangalore"/>
    <x v="0"/>
    <n v="27273.66"/>
    <n v="18"/>
    <n v="81"/>
    <s v="UPI"/>
    <x v="0"/>
    <n v="38"/>
    <x v="2"/>
    <x v="3"/>
  </r>
  <r>
    <s v="CUST1758"/>
    <d v="2023-12-13T00:00:00"/>
    <d v="2024-11-23T00:00:00"/>
    <n v="22"/>
    <s v="Male"/>
    <s v="Pune"/>
    <x v="1"/>
    <n v="4667.4799999999996"/>
    <n v="5"/>
    <n v="36"/>
    <s v="Card"/>
    <x v="1"/>
    <n v="11"/>
    <x v="0"/>
    <x v="0"/>
  </r>
  <r>
    <s v="CUST1759"/>
    <d v="2022-01-30T00:00:00"/>
    <m/>
    <n v="18"/>
    <s v="Male"/>
    <s v="Hyderabad"/>
    <x v="2"/>
    <n v="7457.45"/>
    <n v="14"/>
    <n v="40"/>
    <s v="UPI"/>
    <x v="0"/>
    <n v="49"/>
    <x v="0"/>
    <x v="0"/>
  </r>
  <r>
    <s v="CUST1760"/>
    <d v="2022-03-18T00:00:00"/>
    <m/>
    <n v="36"/>
    <s v="Female"/>
    <s v="Bangalore"/>
    <x v="1"/>
    <n v="5193.51"/>
    <n v="8"/>
    <n v="40"/>
    <s v="Card"/>
    <x v="0"/>
    <n v="47"/>
    <x v="0"/>
    <x v="2"/>
  </r>
  <r>
    <s v="CUST1761"/>
    <d v="2022-12-23T00:00:00"/>
    <m/>
    <n v="42"/>
    <s v="Male"/>
    <s v="Delhi"/>
    <x v="1"/>
    <n v="16151.29"/>
    <n v="23"/>
    <n v="79"/>
    <s v="Card"/>
    <x v="0"/>
    <n v="38"/>
    <x v="2"/>
    <x v="2"/>
  </r>
  <r>
    <s v="CUST1762"/>
    <d v="2022-01-01T00:00:00"/>
    <m/>
    <n v="56"/>
    <s v="Female"/>
    <s v="Kolkata"/>
    <x v="1"/>
    <n v="12629.93"/>
    <n v="24"/>
    <n v="94"/>
    <s v="UPI"/>
    <x v="0"/>
    <n v="50"/>
    <x v="2"/>
    <x v="1"/>
  </r>
  <r>
    <s v="CUST1763"/>
    <d v="2022-08-18T00:00:00"/>
    <m/>
    <n v="18"/>
    <s v="Female"/>
    <s v="Mumbai"/>
    <x v="0"/>
    <n v="10196.379999999999"/>
    <n v="7"/>
    <n v="63"/>
    <s v="UPI"/>
    <x v="0"/>
    <n v="42"/>
    <x v="1"/>
    <x v="0"/>
  </r>
  <r>
    <s v="CUST1764"/>
    <d v="2022-01-03T00:00:00"/>
    <d v="2022-02-24T00:00:00"/>
    <n v="18"/>
    <s v="Female"/>
    <s v="Bangalore"/>
    <x v="1"/>
    <n v="3077.75"/>
    <n v="7"/>
    <n v="18"/>
    <s v="Other"/>
    <x v="1"/>
    <n v="1"/>
    <x v="0"/>
    <x v="0"/>
  </r>
  <r>
    <s v="CUST1765"/>
    <d v="2024-03-26T00:00:00"/>
    <d v="2024-05-08T00:00:00"/>
    <n v="43"/>
    <s v="Female"/>
    <s v="Hyderabad"/>
    <x v="2"/>
    <n v="4311.6499999999996"/>
    <n v="3"/>
    <n v="24"/>
    <s v="Card"/>
    <x v="1"/>
    <n v="1"/>
    <x v="0"/>
    <x v="2"/>
  </r>
  <r>
    <s v="CUST1766"/>
    <d v="2022-12-08T00:00:00"/>
    <d v="2023-06-07T00:00:00"/>
    <n v="27"/>
    <s v="Male"/>
    <s v="Mumbai"/>
    <x v="1"/>
    <n v="7525.59"/>
    <n v="6"/>
    <n v="32"/>
    <s v="Card"/>
    <x v="1"/>
    <n v="5"/>
    <x v="0"/>
    <x v="3"/>
  </r>
  <r>
    <s v="CUST1767"/>
    <d v="2024-03-01T00:00:00"/>
    <m/>
    <n v="55"/>
    <s v="Female"/>
    <s v="Bangalore"/>
    <x v="0"/>
    <n v="8246.27"/>
    <n v="10"/>
    <n v="67"/>
    <s v="Card"/>
    <x v="0"/>
    <n v="24"/>
    <x v="1"/>
    <x v="1"/>
  </r>
  <r>
    <s v="CUST1768"/>
    <d v="2022-11-26T00:00:00"/>
    <d v="2023-09-22T00:00:00"/>
    <n v="44"/>
    <s v="Female"/>
    <s v="Bangalore"/>
    <x v="2"/>
    <n v="7669.77"/>
    <n v="2"/>
    <n v="15"/>
    <s v="Card"/>
    <x v="1"/>
    <n v="9"/>
    <x v="0"/>
    <x v="2"/>
  </r>
  <r>
    <s v="CUST1769"/>
    <d v="2024-05-04T00:00:00"/>
    <m/>
    <n v="52"/>
    <s v="Male"/>
    <s v="Pune"/>
    <x v="2"/>
    <n v="5554.91"/>
    <n v="5"/>
    <n v="35"/>
    <s v="Card"/>
    <x v="0"/>
    <n v="22"/>
    <x v="0"/>
    <x v="1"/>
  </r>
  <r>
    <s v="CUST1770"/>
    <d v="2022-04-30T00:00:00"/>
    <m/>
    <n v="27"/>
    <s v="Male"/>
    <s v="Kolkata"/>
    <x v="1"/>
    <n v="13303.18"/>
    <n v="14"/>
    <n v="47"/>
    <s v="Card"/>
    <x v="0"/>
    <n v="46"/>
    <x v="1"/>
    <x v="3"/>
  </r>
  <r>
    <s v="CUST1771"/>
    <d v="2023-03-14T00:00:00"/>
    <m/>
    <n v="37"/>
    <s v="Male"/>
    <s v="Kolkata"/>
    <x v="1"/>
    <n v="13486.9"/>
    <n v="7"/>
    <n v="52"/>
    <s v="Card"/>
    <x v="0"/>
    <n v="36"/>
    <x v="1"/>
    <x v="2"/>
  </r>
  <r>
    <s v="CUST1772"/>
    <d v="2024-05-05T00:00:00"/>
    <m/>
    <n v="55"/>
    <s v="Female"/>
    <s v="Hyderabad"/>
    <x v="1"/>
    <n v="4547.54"/>
    <n v="7"/>
    <n v="27"/>
    <s v="PayPal"/>
    <x v="0"/>
    <n v="22"/>
    <x v="0"/>
    <x v="1"/>
  </r>
  <r>
    <s v="CUST1773"/>
    <d v="2022-02-22T00:00:00"/>
    <m/>
    <n v="34"/>
    <s v="Male"/>
    <s v="Bangalore"/>
    <x v="2"/>
    <n v="22005.43"/>
    <n v="29"/>
    <n v="75"/>
    <s v="PayPal"/>
    <x v="0"/>
    <n v="48"/>
    <x v="2"/>
    <x v="3"/>
  </r>
  <r>
    <s v="CUST1774"/>
    <d v="2024-02-18T00:00:00"/>
    <d v="2024-03-22T00:00:00"/>
    <n v="39"/>
    <s v="Female"/>
    <s v="Pune"/>
    <x v="1"/>
    <n v="7731.15"/>
    <n v="7"/>
    <n v="27"/>
    <s v="Card"/>
    <x v="1"/>
    <n v="1"/>
    <x v="0"/>
    <x v="2"/>
  </r>
  <r>
    <s v="CUST1775"/>
    <d v="2022-05-17T00:00:00"/>
    <d v="2022-08-06T00:00:00"/>
    <n v="48"/>
    <s v="Female"/>
    <s v="Pune"/>
    <x v="0"/>
    <n v="7664.12"/>
    <n v="1"/>
    <n v="37"/>
    <s v="Card"/>
    <x v="1"/>
    <n v="2"/>
    <x v="0"/>
    <x v="1"/>
  </r>
  <r>
    <s v="CUST1776"/>
    <d v="2024-04-23T00:00:00"/>
    <m/>
    <n v="23"/>
    <s v="Female"/>
    <s v="Hyderabad"/>
    <x v="1"/>
    <n v="17792.5"/>
    <n v="23"/>
    <n v="94"/>
    <s v="PayPal"/>
    <x v="0"/>
    <n v="22"/>
    <x v="2"/>
    <x v="0"/>
  </r>
  <r>
    <s v="CUST1777"/>
    <d v="2023-09-24T00:00:00"/>
    <m/>
    <n v="45"/>
    <s v="Female"/>
    <s v="Kolkata"/>
    <x v="0"/>
    <n v="28601.99"/>
    <n v="17"/>
    <n v="98"/>
    <s v="UPI"/>
    <x v="0"/>
    <n v="29"/>
    <x v="2"/>
    <x v="1"/>
  </r>
  <r>
    <s v="CUST1778"/>
    <d v="2022-10-23T00:00:00"/>
    <m/>
    <n v="56"/>
    <s v="Male"/>
    <s v="Kolkata"/>
    <x v="1"/>
    <n v="24911.89"/>
    <n v="20"/>
    <n v="82"/>
    <s v="PayPal"/>
    <x v="0"/>
    <n v="40"/>
    <x v="2"/>
    <x v="1"/>
  </r>
  <r>
    <s v="CUST1779"/>
    <d v="2024-04-04T00:00:00"/>
    <d v="2024-10-07T00:00:00"/>
    <n v="23"/>
    <s v="Male"/>
    <s v="Kolkata"/>
    <x v="1"/>
    <n v="5113.8500000000004"/>
    <n v="8"/>
    <n v="58"/>
    <s v="Card"/>
    <x v="1"/>
    <n v="6"/>
    <x v="1"/>
    <x v="0"/>
  </r>
  <r>
    <s v="CUST1780"/>
    <d v="2022-11-20T00:00:00"/>
    <m/>
    <n v="31"/>
    <s v="Male"/>
    <s v="Hyderabad"/>
    <x v="1"/>
    <n v="21796"/>
    <n v="20"/>
    <n v="91"/>
    <s v="Card"/>
    <x v="0"/>
    <n v="39"/>
    <x v="2"/>
    <x v="3"/>
  </r>
  <r>
    <s v="CUST1781"/>
    <d v="2023-05-11T00:00:00"/>
    <m/>
    <n v="21"/>
    <s v="Female"/>
    <s v="Delhi"/>
    <x v="1"/>
    <n v="10245.11"/>
    <n v="10"/>
    <n v="69"/>
    <s v="Card"/>
    <x v="0"/>
    <n v="34"/>
    <x v="1"/>
    <x v="0"/>
  </r>
  <r>
    <s v="CUST1782"/>
    <d v="2023-09-20T00:00:00"/>
    <m/>
    <n v="37"/>
    <s v="Male"/>
    <s v="Mumbai"/>
    <x v="0"/>
    <n v="20860.830000000002"/>
    <n v="27"/>
    <n v="72"/>
    <s v="Card"/>
    <x v="0"/>
    <n v="29"/>
    <x v="2"/>
    <x v="2"/>
  </r>
  <r>
    <s v="CUST1783"/>
    <d v="2024-04-19T00:00:00"/>
    <m/>
    <n v="27"/>
    <s v="Male"/>
    <s v="Mumbai"/>
    <x v="2"/>
    <n v="7561.04"/>
    <n v="11"/>
    <n v="49"/>
    <s v="UPI"/>
    <x v="0"/>
    <n v="22"/>
    <x v="1"/>
    <x v="3"/>
  </r>
  <r>
    <s v="CUST1784"/>
    <d v="2023-09-17T00:00:00"/>
    <m/>
    <n v="28"/>
    <s v="Male"/>
    <s v="Pune"/>
    <x v="2"/>
    <n v="16817.509999999998"/>
    <n v="20"/>
    <n v="82"/>
    <s v="UPI"/>
    <x v="0"/>
    <n v="30"/>
    <x v="2"/>
    <x v="3"/>
  </r>
  <r>
    <s v="CUST1785"/>
    <d v="2024-02-24T00:00:00"/>
    <d v="2024-09-08T00:00:00"/>
    <n v="56"/>
    <s v="Other"/>
    <s v="Delhi"/>
    <x v="1"/>
    <n v="7436.07"/>
    <n v="3"/>
    <n v="38"/>
    <s v="Card"/>
    <x v="1"/>
    <n v="6"/>
    <x v="0"/>
    <x v="1"/>
  </r>
  <r>
    <s v="CUST1786"/>
    <d v="2023-08-06T00:00:00"/>
    <d v="2024-04-30T00:00:00"/>
    <n v="43"/>
    <s v="Female"/>
    <s v="Mumbai"/>
    <x v="1"/>
    <n v="3959.12"/>
    <n v="2"/>
    <n v="10"/>
    <s v="PayPal"/>
    <x v="1"/>
    <n v="8"/>
    <x v="0"/>
    <x v="2"/>
  </r>
  <r>
    <s v="CUST1787"/>
    <d v="2024-02-15T00:00:00"/>
    <d v="2024-03-16T00:00:00"/>
    <n v="54"/>
    <s v="Male"/>
    <s v="Bangalore"/>
    <x v="1"/>
    <n v="5748.96"/>
    <n v="1"/>
    <n v="12"/>
    <s v="UPI"/>
    <x v="1"/>
    <n v="1"/>
    <x v="0"/>
    <x v="1"/>
  </r>
  <r>
    <s v="CUST1788"/>
    <d v="2022-11-30T00:00:00"/>
    <d v="2023-04-18T00:00:00"/>
    <n v="25"/>
    <s v="Male"/>
    <s v="Hyderabad"/>
    <x v="2"/>
    <n v="7742.89"/>
    <n v="5"/>
    <n v="34"/>
    <s v="Card"/>
    <x v="1"/>
    <n v="4"/>
    <x v="0"/>
    <x v="3"/>
  </r>
  <r>
    <s v="CUST1789"/>
    <d v="2022-01-17T00:00:00"/>
    <d v="2022-02-20T00:00:00"/>
    <n v="20"/>
    <s v="Female"/>
    <s v="Bangalore"/>
    <x v="1"/>
    <n v="7035.83"/>
    <n v="12"/>
    <n v="44"/>
    <s v="Card"/>
    <x v="1"/>
    <n v="1"/>
    <x v="1"/>
    <x v="0"/>
  </r>
  <r>
    <s v="CUST1790"/>
    <d v="2024-02-04T00:00:00"/>
    <d v="2024-04-23T00:00:00"/>
    <n v="46"/>
    <s v="Male"/>
    <s v="Mumbai"/>
    <x v="1"/>
    <n v="6530.44"/>
    <n v="7"/>
    <n v="37"/>
    <s v="UPI"/>
    <x v="1"/>
    <n v="2"/>
    <x v="0"/>
    <x v="1"/>
  </r>
  <r>
    <s v="CUST1791"/>
    <d v="2022-01-03T00:00:00"/>
    <m/>
    <n v="57"/>
    <s v="Male"/>
    <s v="Kolkata"/>
    <x v="1"/>
    <n v="2259.25"/>
    <n v="6"/>
    <n v="37"/>
    <s v="UPI"/>
    <x v="0"/>
    <n v="50"/>
    <x v="0"/>
    <x v="1"/>
  </r>
  <r>
    <s v="CUST1792"/>
    <d v="2022-12-26T00:00:00"/>
    <d v="2023-09-11T00:00:00"/>
    <n v="30"/>
    <s v="Female"/>
    <s v="Mumbai"/>
    <x v="2"/>
    <n v="7339.4"/>
    <n v="6"/>
    <n v="16"/>
    <s v="UPI"/>
    <x v="1"/>
    <n v="8"/>
    <x v="0"/>
    <x v="3"/>
  </r>
  <r>
    <s v="CUST1793"/>
    <d v="2023-10-07T00:00:00"/>
    <d v="2024-02-27T00:00:00"/>
    <n v="34"/>
    <s v="Female"/>
    <s v="Bangalore"/>
    <x v="2"/>
    <n v="5543.05"/>
    <n v="8"/>
    <n v="67"/>
    <s v="PayPal"/>
    <x v="1"/>
    <n v="4"/>
    <x v="1"/>
    <x v="3"/>
  </r>
  <r>
    <s v="CUST1794"/>
    <d v="2022-01-30T00:00:00"/>
    <m/>
    <n v="48"/>
    <s v="Female"/>
    <s v="Kolkata"/>
    <x v="1"/>
    <n v="6088.24"/>
    <n v="4"/>
    <n v="27"/>
    <s v="UPI"/>
    <x v="0"/>
    <n v="49"/>
    <x v="0"/>
    <x v="1"/>
  </r>
  <r>
    <s v="CUST1795"/>
    <d v="2022-08-18T00:00:00"/>
    <d v="2023-06-20T00:00:00"/>
    <n v="44"/>
    <s v="Female"/>
    <s v="Hyderabad"/>
    <x v="1"/>
    <n v="2658.18"/>
    <n v="7"/>
    <n v="10"/>
    <s v="Card"/>
    <x v="1"/>
    <n v="10"/>
    <x v="0"/>
    <x v="2"/>
  </r>
  <r>
    <s v="CUST1796"/>
    <d v="2022-11-30T00:00:00"/>
    <d v="2023-04-29T00:00:00"/>
    <n v="26"/>
    <s v="Male"/>
    <s v="Bangalore"/>
    <x v="2"/>
    <n v="5011.09"/>
    <n v="9"/>
    <n v="46"/>
    <s v="UPI"/>
    <x v="1"/>
    <n v="4"/>
    <x v="1"/>
    <x v="3"/>
  </r>
  <r>
    <s v="CUST1797"/>
    <d v="2022-07-11T00:00:00"/>
    <m/>
    <n v="36"/>
    <s v="Female"/>
    <s v="Pune"/>
    <x v="0"/>
    <n v="6827.29"/>
    <n v="7"/>
    <n v="35"/>
    <s v="UPI"/>
    <x v="0"/>
    <n v="44"/>
    <x v="0"/>
    <x v="2"/>
  </r>
  <r>
    <s v="CUST1798"/>
    <d v="2024-03-03T00:00:00"/>
    <m/>
    <n v="52"/>
    <s v="Male"/>
    <s v="Bangalore"/>
    <x v="1"/>
    <n v="11302.96"/>
    <n v="11"/>
    <n v="52"/>
    <s v="Card"/>
    <x v="0"/>
    <n v="24"/>
    <x v="1"/>
    <x v="1"/>
  </r>
  <r>
    <s v="CUST1799"/>
    <d v="2022-07-12T00:00:00"/>
    <d v="2022-08-31T00:00:00"/>
    <n v="34"/>
    <s v="Female"/>
    <s v="Hyderabad"/>
    <x v="2"/>
    <n v="12238.47"/>
    <n v="28"/>
    <n v="87"/>
    <s v="UPI"/>
    <x v="1"/>
    <n v="1"/>
    <x v="2"/>
    <x v="3"/>
  </r>
  <r>
    <s v="CUST1800"/>
    <d v="2023-12-27T00:00:00"/>
    <m/>
    <n v="41"/>
    <s v="Male"/>
    <s v="Mumbai"/>
    <x v="1"/>
    <n v="20674.34"/>
    <n v="22"/>
    <n v="82"/>
    <s v="PayPal"/>
    <x v="0"/>
    <n v="26"/>
    <x v="2"/>
    <x v="2"/>
  </r>
  <r>
    <s v="CUST1801"/>
    <d v="2024-05-17T00:00:00"/>
    <m/>
    <n v="41"/>
    <s v="Female"/>
    <s v="Hyderabad"/>
    <x v="1"/>
    <n v="10040.83"/>
    <n v="11"/>
    <n v="46"/>
    <s v="UPI"/>
    <x v="0"/>
    <n v="22"/>
    <x v="1"/>
    <x v="2"/>
  </r>
  <r>
    <s v="CUST1802"/>
    <d v="2022-04-18T00:00:00"/>
    <m/>
    <n v="21"/>
    <s v="Male"/>
    <s v="Mumbai"/>
    <x v="2"/>
    <n v="10131.780000000001"/>
    <n v="12"/>
    <n v="64"/>
    <s v="UPI"/>
    <x v="0"/>
    <n v="46"/>
    <x v="1"/>
    <x v="0"/>
  </r>
  <r>
    <s v="CUST1803"/>
    <d v="2022-08-28T00:00:00"/>
    <m/>
    <n v="39"/>
    <s v="Male"/>
    <s v="Kolkata"/>
    <x v="1"/>
    <n v="5982.44"/>
    <n v="14"/>
    <n v="40"/>
    <s v="Card"/>
    <x v="0"/>
    <n v="42"/>
    <x v="0"/>
    <x v="2"/>
  </r>
  <r>
    <s v="CUST1804"/>
    <d v="2022-08-07T00:00:00"/>
    <m/>
    <n v="46"/>
    <s v="Female"/>
    <s v="Delhi"/>
    <x v="1"/>
    <n v="25127.34"/>
    <n v="26"/>
    <n v="87"/>
    <s v="Card"/>
    <x v="0"/>
    <n v="43"/>
    <x v="2"/>
    <x v="1"/>
  </r>
  <r>
    <s v="CUST1805"/>
    <d v="2024-01-04T00:00:00"/>
    <m/>
    <n v="35"/>
    <s v="Male"/>
    <s v="Pune"/>
    <x v="0"/>
    <n v="17516.66"/>
    <n v="26"/>
    <n v="94"/>
    <s v="Card"/>
    <x v="0"/>
    <n v="26"/>
    <x v="2"/>
    <x v="2"/>
  </r>
  <r>
    <s v="CUST1806"/>
    <d v="2023-12-21T00:00:00"/>
    <m/>
    <n v="38"/>
    <s v="Male"/>
    <s v="Delhi"/>
    <x v="1"/>
    <n v="8441.4699999999993"/>
    <n v="13"/>
    <n v="66"/>
    <s v="Other"/>
    <x v="0"/>
    <n v="26"/>
    <x v="1"/>
    <x v="2"/>
  </r>
  <r>
    <s v="CUST1807"/>
    <d v="2023-10-07T00:00:00"/>
    <m/>
    <n v="59"/>
    <s v="Female"/>
    <s v="Pune"/>
    <x v="1"/>
    <n v="29033.55"/>
    <n v="14"/>
    <n v="78"/>
    <s v="Card"/>
    <x v="0"/>
    <n v="29"/>
    <x v="2"/>
    <x v="1"/>
  </r>
  <r>
    <s v="CUST1808"/>
    <d v="2022-05-30T00:00:00"/>
    <m/>
    <n v="23"/>
    <s v="Female"/>
    <s v="Mumbai"/>
    <x v="2"/>
    <n v="3156.01"/>
    <n v="4"/>
    <n v="16"/>
    <s v="Card"/>
    <x v="0"/>
    <n v="45"/>
    <x v="0"/>
    <x v="0"/>
  </r>
  <r>
    <s v="CUST1809"/>
    <d v="2022-08-27T00:00:00"/>
    <d v="2023-06-02T00:00:00"/>
    <n v="37"/>
    <s v="Male"/>
    <s v="Hyderabad"/>
    <x v="2"/>
    <n v="8558.84"/>
    <n v="9"/>
    <n v="48"/>
    <s v="UPI"/>
    <x v="1"/>
    <n v="9"/>
    <x v="1"/>
    <x v="2"/>
  </r>
  <r>
    <s v="CUST1810"/>
    <d v="2023-10-30T00:00:00"/>
    <d v="2024-01-15T00:00:00"/>
    <n v="50"/>
    <s v="Female"/>
    <s v="Delhi"/>
    <x v="1"/>
    <n v="10975.81"/>
    <n v="12"/>
    <n v="42"/>
    <s v="PayPal"/>
    <x v="1"/>
    <n v="2"/>
    <x v="1"/>
    <x v="1"/>
  </r>
  <r>
    <s v="CUST1811"/>
    <d v="2023-03-05T00:00:00"/>
    <d v="2023-10-30T00:00:00"/>
    <n v="52"/>
    <s v="Female"/>
    <s v="Kolkata"/>
    <x v="1"/>
    <n v="26803.01"/>
    <n v="25"/>
    <n v="91"/>
    <s v="Other"/>
    <x v="1"/>
    <n v="7"/>
    <x v="2"/>
    <x v="1"/>
  </r>
  <r>
    <s v="CUST1812"/>
    <d v="2023-01-12T00:00:00"/>
    <d v="2023-04-24T00:00:00"/>
    <n v="57"/>
    <s v="Male"/>
    <s v="Pune"/>
    <x v="1"/>
    <n v="5204.9799999999996"/>
    <n v="4"/>
    <n v="11"/>
    <s v="UPI"/>
    <x v="1"/>
    <n v="3"/>
    <x v="0"/>
    <x v="1"/>
  </r>
  <r>
    <s v="CUST1813"/>
    <d v="2023-04-04T00:00:00"/>
    <d v="2023-08-05T00:00:00"/>
    <n v="53"/>
    <s v="Female"/>
    <s v="Hyderabad"/>
    <x v="1"/>
    <n v="6634.26"/>
    <n v="2"/>
    <n v="27"/>
    <s v="Card"/>
    <x v="1"/>
    <n v="4"/>
    <x v="0"/>
    <x v="1"/>
  </r>
  <r>
    <s v="CUST1814"/>
    <d v="2023-02-16T00:00:00"/>
    <m/>
    <n v="46"/>
    <s v="Female"/>
    <s v="Bangalore"/>
    <x v="2"/>
    <n v="3805.04"/>
    <n v="3"/>
    <n v="32"/>
    <s v="Card"/>
    <x v="0"/>
    <n v="37"/>
    <x v="0"/>
    <x v="1"/>
  </r>
  <r>
    <s v="CUST1815"/>
    <d v="2023-03-25T00:00:00"/>
    <m/>
    <n v="32"/>
    <s v="Female"/>
    <s v="Mumbai"/>
    <x v="1"/>
    <n v="2873.5"/>
    <n v="3"/>
    <n v="16"/>
    <s v="PayPal"/>
    <x v="0"/>
    <n v="35"/>
    <x v="0"/>
    <x v="3"/>
  </r>
  <r>
    <s v="CUST1816"/>
    <d v="2022-03-27T00:00:00"/>
    <m/>
    <n v="28"/>
    <s v="Female"/>
    <s v="Kolkata"/>
    <x v="2"/>
    <n v="14393.9"/>
    <n v="5"/>
    <n v="50"/>
    <s v="Card"/>
    <x v="0"/>
    <n v="47"/>
    <x v="1"/>
    <x v="3"/>
  </r>
  <r>
    <s v="CUST1817"/>
    <d v="2024-03-04T00:00:00"/>
    <m/>
    <n v="22"/>
    <s v="Other"/>
    <s v="Delhi"/>
    <x v="2"/>
    <n v="18583.509999999998"/>
    <n v="13"/>
    <n v="83"/>
    <s v="Card"/>
    <x v="0"/>
    <n v="24"/>
    <x v="2"/>
    <x v="0"/>
  </r>
  <r>
    <s v="CUST1818"/>
    <d v="2024-05-27T00:00:00"/>
    <m/>
    <n v="25"/>
    <s v="Female"/>
    <s v="Pune"/>
    <x v="1"/>
    <n v="10182.82"/>
    <n v="14"/>
    <n v="56"/>
    <s v="PayPal"/>
    <x v="0"/>
    <n v="21"/>
    <x v="1"/>
    <x v="3"/>
  </r>
  <r>
    <s v="CUST1819"/>
    <d v="2022-01-06T00:00:00"/>
    <m/>
    <n v="59"/>
    <s v="Female"/>
    <s v="Bangalore"/>
    <x v="2"/>
    <n v="26387.29"/>
    <n v="12"/>
    <n v="87"/>
    <s v="PayPal"/>
    <x v="0"/>
    <n v="50"/>
    <x v="2"/>
    <x v="1"/>
  </r>
  <r>
    <s v="CUST1820"/>
    <d v="2024-06-15T00:00:00"/>
    <m/>
    <n v="18"/>
    <s v="Female"/>
    <s v="Kolkata"/>
    <x v="1"/>
    <n v="5660.39"/>
    <n v="2"/>
    <n v="24"/>
    <s v="UPI"/>
    <x v="0"/>
    <n v="21"/>
    <x v="0"/>
    <x v="0"/>
  </r>
  <r>
    <s v="CUST1821"/>
    <d v="2023-11-17T00:00:00"/>
    <d v="2024-09-14T00:00:00"/>
    <n v="43"/>
    <s v="Female"/>
    <s v="Hyderabad"/>
    <x v="2"/>
    <n v="10137.200000000001"/>
    <n v="14"/>
    <n v="45"/>
    <s v="Card"/>
    <x v="1"/>
    <n v="9"/>
    <x v="1"/>
    <x v="2"/>
  </r>
  <r>
    <s v="CUST1822"/>
    <d v="2022-10-01T00:00:00"/>
    <d v="2023-01-12T00:00:00"/>
    <n v="20"/>
    <s v="Male"/>
    <s v="Kolkata"/>
    <x v="1"/>
    <n v="13370.31"/>
    <n v="13"/>
    <n v="89"/>
    <s v="UPI"/>
    <x v="1"/>
    <n v="3"/>
    <x v="2"/>
    <x v="0"/>
  </r>
  <r>
    <s v="CUST1823"/>
    <d v="2024-04-22T00:00:00"/>
    <m/>
    <n v="35"/>
    <s v="Male"/>
    <s v="Bangalore"/>
    <x v="2"/>
    <n v="6709.38"/>
    <n v="3"/>
    <n v="11"/>
    <s v="Card"/>
    <x v="0"/>
    <n v="22"/>
    <x v="0"/>
    <x v="2"/>
  </r>
  <r>
    <s v="CUST1824"/>
    <d v="2024-03-18T00:00:00"/>
    <d v="2024-09-02T00:00:00"/>
    <n v="46"/>
    <s v="Male"/>
    <s v="Hyderabad"/>
    <x v="1"/>
    <n v="9344.33"/>
    <n v="10"/>
    <n v="57"/>
    <s v="Card"/>
    <x v="1"/>
    <n v="5"/>
    <x v="1"/>
    <x v="1"/>
  </r>
  <r>
    <s v="CUST1825"/>
    <d v="2023-10-26T00:00:00"/>
    <m/>
    <n v="46"/>
    <s v="Male"/>
    <s v="Hyderabad"/>
    <x v="1"/>
    <n v="25923.17"/>
    <n v="25"/>
    <n v="77"/>
    <s v="Card"/>
    <x v="0"/>
    <n v="28"/>
    <x v="2"/>
    <x v="1"/>
  </r>
  <r>
    <s v="CUST1826"/>
    <d v="2023-05-03T00:00:00"/>
    <m/>
    <n v="35"/>
    <s v="Female"/>
    <s v="Pune"/>
    <x v="2"/>
    <n v="7575.2"/>
    <n v="14"/>
    <n v="57"/>
    <s v="Card"/>
    <x v="0"/>
    <n v="34"/>
    <x v="1"/>
    <x v="2"/>
  </r>
  <r>
    <s v="CUST1827"/>
    <d v="2023-12-08T00:00:00"/>
    <d v="2024-11-23T00:00:00"/>
    <n v="44"/>
    <s v="Female"/>
    <s v="Delhi"/>
    <x v="2"/>
    <n v="9179.3799999999992"/>
    <n v="8"/>
    <n v="55"/>
    <s v="PayPal"/>
    <x v="1"/>
    <n v="11"/>
    <x v="1"/>
    <x v="2"/>
  </r>
  <r>
    <s v="CUST1828"/>
    <d v="2024-04-24T00:00:00"/>
    <m/>
    <n v="43"/>
    <s v="Female"/>
    <s v="Hyderabad"/>
    <x v="1"/>
    <n v="15698.84"/>
    <n v="28"/>
    <n v="94"/>
    <s v="UPI"/>
    <x v="0"/>
    <n v="22"/>
    <x v="2"/>
    <x v="2"/>
  </r>
  <r>
    <s v="CUST1829"/>
    <d v="2022-02-22T00:00:00"/>
    <m/>
    <n v="44"/>
    <s v="Male"/>
    <s v="Pune"/>
    <x v="1"/>
    <n v="21100.55"/>
    <n v="22"/>
    <n v="90"/>
    <s v="UPI"/>
    <x v="0"/>
    <n v="48"/>
    <x v="2"/>
    <x v="2"/>
  </r>
  <r>
    <s v="CUST1830"/>
    <d v="2024-03-03T00:00:00"/>
    <d v="2025-02-09T00:00:00"/>
    <n v="36"/>
    <s v="Female"/>
    <s v="Bangalore"/>
    <x v="0"/>
    <n v="7065.1"/>
    <n v="1"/>
    <n v="32"/>
    <s v="UPI"/>
    <x v="1"/>
    <n v="11"/>
    <x v="0"/>
    <x v="2"/>
  </r>
  <r>
    <s v="CUST1831"/>
    <d v="2023-05-30T00:00:00"/>
    <m/>
    <n v="57"/>
    <s v="Female"/>
    <s v="Bangalore"/>
    <x v="1"/>
    <n v="12981.52"/>
    <n v="10"/>
    <n v="62"/>
    <s v="Card"/>
    <x v="0"/>
    <n v="33"/>
    <x v="1"/>
    <x v="1"/>
  </r>
  <r>
    <s v="CUST1832"/>
    <d v="2023-12-13T00:00:00"/>
    <m/>
    <n v="20"/>
    <s v="Male"/>
    <s v="Bangalore"/>
    <x v="2"/>
    <n v="2172.87"/>
    <n v="3"/>
    <n v="35"/>
    <s v="Card"/>
    <x v="0"/>
    <n v="27"/>
    <x v="0"/>
    <x v="0"/>
  </r>
  <r>
    <s v="CUST1833"/>
    <d v="2023-04-22T00:00:00"/>
    <m/>
    <n v="18"/>
    <s v="Female"/>
    <s v="Hyderabad"/>
    <x v="2"/>
    <n v="14434.59"/>
    <n v="7"/>
    <n v="62"/>
    <s v="Card"/>
    <x v="0"/>
    <n v="34"/>
    <x v="1"/>
    <x v="0"/>
  </r>
  <r>
    <s v="CUST1834"/>
    <d v="2023-09-06T00:00:00"/>
    <d v="2024-02-18T00:00:00"/>
    <n v="34"/>
    <s v="Female"/>
    <s v="Mumbai"/>
    <x v="2"/>
    <n v="6171.01"/>
    <n v="1"/>
    <n v="31"/>
    <s v="PayPal"/>
    <x v="1"/>
    <n v="5"/>
    <x v="0"/>
    <x v="3"/>
  </r>
  <r>
    <s v="CUST1835"/>
    <d v="2023-08-07T00:00:00"/>
    <m/>
    <n v="18"/>
    <s v="Female"/>
    <s v="Bangalore"/>
    <x v="1"/>
    <n v="2139.86"/>
    <n v="7"/>
    <n v="17"/>
    <s v="UPI"/>
    <x v="0"/>
    <n v="31"/>
    <x v="0"/>
    <x v="0"/>
  </r>
  <r>
    <s v="CUST1836"/>
    <d v="2022-09-09T00:00:00"/>
    <m/>
    <n v="42"/>
    <s v="Female"/>
    <s v="Pune"/>
    <x v="1"/>
    <n v="18926.349999999999"/>
    <n v="21"/>
    <n v="98"/>
    <s v="Card"/>
    <x v="0"/>
    <n v="42"/>
    <x v="2"/>
    <x v="2"/>
  </r>
  <r>
    <s v="CUST1837"/>
    <d v="2023-03-11T00:00:00"/>
    <m/>
    <n v="36"/>
    <s v="Female"/>
    <s v="Kolkata"/>
    <x v="2"/>
    <n v="7298.22"/>
    <n v="11"/>
    <n v="46"/>
    <s v="Card"/>
    <x v="0"/>
    <n v="36"/>
    <x v="1"/>
    <x v="2"/>
  </r>
  <r>
    <s v="CUST1838"/>
    <d v="2022-07-08T00:00:00"/>
    <d v="2022-09-09T00:00:00"/>
    <n v="34"/>
    <s v="Female"/>
    <s v="Pune"/>
    <x v="1"/>
    <n v="2175.58"/>
    <n v="1"/>
    <n v="36"/>
    <s v="UPI"/>
    <x v="1"/>
    <n v="2"/>
    <x v="0"/>
    <x v="3"/>
  </r>
  <r>
    <s v="CUST1839"/>
    <d v="2024-01-16T00:00:00"/>
    <m/>
    <n v="18"/>
    <s v="Female"/>
    <s v="Bangalore"/>
    <x v="2"/>
    <n v="5264.91"/>
    <n v="7"/>
    <n v="35"/>
    <s v="Card"/>
    <x v="0"/>
    <n v="26"/>
    <x v="0"/>
    <x v="0"/>
  </r>
  <r>
    <s v="CUST1840"/>
    <d v="2022-10-19T00:00:00"/>
    <m/>
    <n v="24"/>
    <s v="Female"/>
    <s v="Hyderabad"/>
    <x v="2"/>
    <n v="5765.53"/>
    <n v="5"/>
    <n v="37"/>
    <s v="Card"/>
    <x v="0"/>
    <n v="40"/>
    <x v="0"/>
    <x v="0"/>
  </r>
  <r>
    <s v="CUST1841"/>
    <d v="2022-12-19T00:00:00"/>
    <m/>
    <n v="48"/>
    <s v="Female"/>
    <s v="Hyderabad"/>
    <x v="2"/>
    <n v="6791.31"/>
    <n v="14"/>
    <n v="66"/>
    <s v="UPI"/>
    <x v="0"/>
    <n v="38"/>
    <x v="1"/>
    <x v="1"/>
  </r>
  <r>
    <s v="CUST1842"/>
    <d v="2023-09-19T00:00:00"/>
    <d v="2023-10-27T00:00:00"/>
    <n v="37"/>
    <s v="Male"/>
    <s v="Hyderabad"/>
    <x v="1"/>
    <n v="5588.92"/>
    <n v="7"/>
    <n v="38"/>
    <s v="PayPal"/>
    <x v="1"/>
    <n v="1"/>
    <x v="0"/>
    <x v="2"/>
  </r>
  <r>
    <s v="CUST1843"/>
    <d v="2022-10-09T00:00:00"/>
    <m/>
    <n v="55"/>
    <s v="Male"/>
    <s v="Hyderabad"/>
    <x v="0"/>
    <n v="14147.22"/>
    <n v="18"/>
    <n v="79"/>
    <s v="Card"/>
    <x v="0"/>
    <n v="41"/>
    <x v="2"/>
    <x v="1"/>
  </r>
  <r>
    <s v="CUST1844"/>
    <d v="2022-06-19T00:00:00"/>
    <d v="2023-03-18T00:00:00"/>
    <n v="25"/>
    <s v="Female"/>
    <s v="Kolkata"/>
    <x v="2"/>
    <n v="14047.26"/>
    <n v="7"/>
    <n v="46"/>
    <s v="Card"/>
    <x v="1"/>
    <n v="8"/>
    <x v="1"/>
    <x v="3"/>
  </r>
  <r>
    <s v="CUST1845"/>
    <d v="2023-12-26T00:00:00"/>
    <d v="2024-02-28T00:00:00"/>
    <n v="46"/>
    <s v="Male"/>
    <s v="Bangalore"/>
    <x v="1"/>
    <n v="12018.71"/>
    <n v="9"/>
    <n v="56"/>
    <s v="UPI"/>
    <x v="1"/>
    <n v="2"/>
    <x v="1"/>
    <x v="1"/>
  </r>
  <r>
    <s v="CUST1846"/>
    <d v="2024-03-30T00:00:00"/>
    <m/>
    <n v="45"/>
    <s v="Female"/>
    <s v="Mumbai"/>
    <x v="2"/>
    <n v="10300"/>
    <n v="12"/>
    <n v="67"/>
    <s v="UPI"/>
    <x v="0"/>
    <n v="23"/>
    <x v="1"/>
    <x v="1"/>
  </r>
  <r>
    <s v="CUST1847"/>
    <d v="2022-09-19T00:00:00"/>
    <m/>
    <n v="33"/>
    <s v="Female"/>
    <s v="Delhi"/>
    <x v="1"/>
    <n v="3271.32"/>
    <n v="7"/>
    <n v="18"/>
    <s v="UPI"/>
    <x v="0"/>
    <n v="41"/>
    <x v="0"/>
    <x v="3"/>
  </r>
  <r>
    <s v="CUST1848"/>
    <d v="2023-03-15T00:00:00"/>
    <m/>
    <n v="29"/>
    <s v="Female"/>
    <s v="Delhi"/>
    <x v="1"/>
    <n v="15700.31"/>
    <n v="26"/>
    <n v="77"/>
    <s v="UPI"/>
    <x v="0"/>
    <n v="36"/>
    <x v="2"/>
    <x v="3"/>
  </r>
  <r>
    <s v="CUST1849"/>
    <d v="2024-06-11T00:00:00"/>
    <d v="2025-01-07T00:00:00"/>
    <n v="49"/>
    <s v="Male"/>
    <s v="Delhi"/>
    <x v="1"/>
    <n v="7260.98"/>
    <n v="6"/>
    <n v="36"/>
    <s v="PayPal"/>
    <x v="1"/>
    <n v="6"/>
    <x v="0"/>
    <x v="1"/>
  </r>
  <r>
    <s v="CUST1850"/>
    <d v="2024-02-07T00:00:00"/>
    <m/>
    <n v="56"/>
    <s v="Male"/>
    <s v="Kolkata"/>
    <x v="1"/>
    <n v="28592.09"/>
    <n v="25"/>
    <n v="75"/>
    <s v="Card"/>
    <x v="0"/>
    <n v="25"/>
    <x v="2"/>
    <x v="1"/>
  </r>
  <r>
    <s v="CUST1851"/>
    <d v="2023-02-24T00:00:00"/>
    <m/>
    <n v="43"/>
    <s v="Male"/>
    <s v="Kolkata"/>
    <x v="1"/>
    <n v="7135.51"/>
    <n v="13"/>
    <n v="60"/>
    <s v="UPI"/>
    <x v="0"/>
    <n v="36"/>
    <x v="1"/>
    <x v="2"/>
  </r>
  <r>
    <s v="CUST1852"/>
    <d v="2023-08-15T00:00:00"/>
    <d v="2024-05-02T00:00:00"/>
    <n v="53"/>
    <s v="Male"/>
    <s v="Pune"/>
    <x v="0"/>
    <n v="13166.65"/>
    <n v="29"/>
    <n v="97"/>
    <s v="Card"/>
    <x v="1"/>
    <n v="8"/>
    <x v="2"/>
    <x v="1"/>
  </r>
  <r>
    <s v="CUST1853"/>
    <d v="2022-10-24T00:00:00"/>
    <d v="2023-10-05T00:00:00"/>
    <n v="40"/>
    <s v="Female"/>
    <s v="Hyderabad"/>
    <x v="2"/>
    <n v="5463.18"/>
    <n v="5"/>
    <n v="32"/>
    <s v="Card"/>
    <x v="1"/>
    <n v="11"/>
    <x v="0"/>
    <x v="2"/>
  </r>
  <r>
    <s v="CUST1854"/>
    <d v="2022-09-18T00:00:00"/>
    <m/>
    <n v="35"/>
    <s v="Female"/>
    <s v="Mumbai"/>
    <x v="1"/>
    <n v="4621.91"/>
    <n v="1"/>
    <n v="12"/>
    <s v="Card"/>
    <x v="0"/>
    <n v="41"/>
    <x v="0"/>
    <x v="2"/>
  </r>
  <r>
    <s v="CUST1855"/>
    <d v="2023-02-16T00:00:00"/>
    <d v="2023-12-02T00:00:00"/>
    <n v="21"/>
    <s v="Male"/>
    <s v="Mumbai"/>
    <x v="0"/>
    <n v="25756.25"/>
    <n v="24"/>
    <n v="76"/>
    <s v="Card"/>
    <x v="1"/>
    <n v="9"/>
    <x v="2"/>
    <x v="0"/>
  </r>
  <r>
    <s v="CUST1856"/>
    <d v="2023-06-05T00:00:00"/>
    <d v="2023-11-25T00:00:00"/>
    <n v="43"/>
    <s v="Male"/>
    <s v="Bangalore"/>
    <x v="1"/>
    <n v="5655.35"/>
    <n v="4"/>
    <n v="32"/>
    <s v="PayPal"/>
    <x v="1"/>
    <n v="5"/>
    <x v="0"/>
    <x v="2"/>
  </r>
  <r>
    <s v="CUST1857"/>
    <d v="2022-03-07T00:00:00"/>
    <m/>
    <n v="24"/>
    <s v="Female"/>
    <s v="Delhi"/>
    <x v="1"/>
    <n v="7930.71"/>
    <n v="2"/>
    <n v="36"/>
    <s v="Card"/>
    <x v="0"/>
    <n v="48"/>
    <x v="0"/>
    <x v="0"/>
  </r>
  <r>
    <s v="CUST1858"/>
    <d v="2023-06-17T00:00:00"/>
    <m/>
    <n v="24"/>
    <s v="Female"/>
    <s v="Pune"/>
    <x v="2"/>
    <n v="6824.33"/>
    <n v="1"/>
    <n v="27"/>
    <s v="Card"/>
    <x v="0"/>
    <n v="33"/>
    <x v="0"/>
    <x v="0"/>
  </r>
  <r>
    <s v="CUST1859"/>
    <d v="2022-09-16T00:00:00"/>
    <d v="2023-08-21T00:00:00"/>
    <n v="24"/>
    <s v="Male"/>
    <s v="Delhi"/>
    <x v="1"/>
    <n v="12884.73"/>
    <n v="13"/>
    <n v="55"/>
    <s v="Card"/>
    <x v="1"/>
    <n v="11"/>
    <x v="1"/>
    <x v="0"/>
  </r>
  <r>
    <s v="CUST1860"/>
    <d v="2023-11-18T00:00:00"/>
    <d v="2024-05-25T00:00:00"/>
    <n v="30"/>
    <s v="Male"/>
    <s v="Kolkata"/>
    <x v="1"/>
    <n v="4100.76"/>
    <n v="1"/>
    <n v="12"/>
    <s v="UPI"/>
    <x v="1"/>
    <n v="6"/>
    <x v="0"/>
    <x v="3"/>
  </r>
  <r>
    <s v="CUST1861"/>
    <d v="2023-05-07T00:00:00"/>
    <m/>
    <n v="47"/>
    <s v="Male"/>
    <s v="Pune"/>
    <x v="1"/>
    <n v="25515.73"/>
    <n v="13"/>
    <n v="93"/>
    <s v="UPI"/>
    <x v="0"/>
    <n v="34"/>
    <x v="2"/>
    <x v="1"/>
  </r>
  <r>
    <s v="CUST1862"/>
    <d v="2022-03-19T00:00:00"/>
    <m/>
    <n v="40"/>
    <s v="Male"/>
    <s v="Pune"/>
    <x v="1"/>
    <n v="13452.01"/>
    <n v="10"/>
    <n v="67"/>
    <s v="UPI"/>
    <x v="0"/>
    <n v="47"/>
    <x v="1"/>
    <x v="2"/>
  </r>
  <r>
    <s v="CUST1863"/>
    <d v="2024-02-16T00:00:00"/>
    <m/>
    <n v="39"/>
    <s v="Female"/>
    <s v="Pune"/>
    <x v="1"/>
    <n v="10308.700000000001"/>
    <n v="11"/>
    <n v="67"/>
    <s v="UPI"/>
    <x v="0"/>
    <n v="25"/>
    <x v="1"/>
    <x v="2"/>
  </r>
  <r>
    <s v="CUST1864"/>
    <d v="2023-02-10T00:00:00"/>
    <d v="2023-04-30T00:00:00"/>
    <n v="28"/>
    <s v="Male"/>
    <s v="Bangalore"/>
    <x v="2"/>
    <n v="3068.07"/>
    <n v="5"/>
    <n v="17"/>
    <s v="Card"/>
    <x v="1"/>
    <n v="2"/>
    <x v="0"/>
    <x v="3"/>
  </r>
  <r>
    <s v="CUST1865"/>
    <d v="2022-05-20T00:00:00"/>
    <m/>
    <n v="28"/>
    <s v="Male"/>
    <s v="Delhi"/>
    <x v="1"/>
    <n v="29326.959999999999"/>
    <n v="20"/>
    <n v="96"/>
    <s v="UPI"/>
    <x v="0"/>
    <n v="45"/>
    <x v="2"/>
    <x v="3"/>
  </r>
  <r>
    <s v="CUST1866"/>
    <d v="2022-03-06T00:00:00"/>
    <m/>
    <n v="21"/>
    <s v="Male"/>
    <s v="Bangalore"/>
    <x v="1"/>
    <n v="8493.02"/>
    <n v="6"/>
    <n v="58"/>
    <s v="UPI"/>
    <x v="0"/>
    <n v="48"/>
    <x v="1"/>
    <x v="0"/>
  </r>
  <r>
    <s v="CUST1867"/>
    <d v="2022-01-11T00:00:00"/>
    <d v="2022-06-06T00:00:00"/>
    <n v="35"/>
    <s v="Male"/>
    <s v="Bangalore"/>
    <x v="0"/>
    <n v="3844.44"/>
    <n v="2"/>
    <n v="28"/>
    <s v="Card"/>
    <x v="1"/>
    <n v="4"/>
    <x v="0"/>
    <x v="2"/>
  </r>
  <r>
    <s v="CUST1868"/>
    <d v="2024-05-23T00:00:00"/>
    <m/>
    <n v="54"/>
    <s v="Female"/>
    <s v="Mumbai"/>
    <x v="2"/>
    <n v="29227.26"/>
    <n v="27"/>
    <n v="86"/>
    <s v="Card"/>
    <x v="0"/>
    <n v="21"/>
    <x v="2"/>
    <x v="1"/>
  </r>
  <r>
    <s v="CUST1869"/>
    <d v="2023-09-25T00:00:00"/>
    <m/>
    <n v="39"/>
    <s v="Male"/>
    <s v="Delhi"/>
    <x v="1"/>
    <n v="23091.439999999999"/>
    <n v="12"/>
    <n v="70"/>
    <s v="Other"/>
    <x v="0"/>
    <n v="29"/>
    <x v="1"/>
    <x v="2"/>
  </r>
  <r>
    <s v="CUST1870"/>
    <d v="2024-05-31T00:00:00"/>
    <m/>
    <n v="49"/>
    <s v="Female"/>
    <s v="Delhi"/>
    <x v="1"/>
    <n v="10502.38"/>
    <n v="12"/>
    <n v="48"/>
    <s v="UPI"/>
    <x v="0"/>
    <n v="21"/>
    <x v="1"/>
    <x v="1"/>
  </r>
  <r>
    <s v="CUST1871"/>
    <d v="2023-02-22T00:00:00"/>
    <d v="2023-07-06T00:00:00"/>
    <n v="58"/>
    <s v="Male"/>
    <s v="Kolkata"/>
    <x v="0"/>
    <n v="4894.1000000000004"/>
    <n v="3"/>
    <n v="23"/>
    <s v="UPI"/>
    <x v="1"/>
    <n v="4"/>
    <x v="0"/>
    <x v="1"/>
  </r>
  <r>
    <s v="CUST1872"/>
    <d v="2024-03-06T00:00:00"/>
    <d v="2025-01-17T00:00:00"/>
    <n v="43"/>
    <s v="Female"/>
    <s v="Mumbai"/>
    <x v="1"/>
    <n v="7163.67"/>
    <n v="1"/>
    <n v="35"/>
    <s v="UPI"/>
    <x v="1"/>
    <n v="10"/>
    <x v="0"/>
    <x v="2"/>
  </r>
  <r>
    <s v="CUST1873"/>
    <d v="2022-02-01T00:00:00"/>
    <m/>
    <n v="31"/>
    <s v="Male"/>
    <s v="Delhi"/>
    <x v="1"/>
    <n v="8610.84"/>
    <n v="12"/>
    <n v="58"/>
    <s v="UPI"/>
    <x v="0"/>
    <n v="49"/>
    <x v="1"/>
    <x v="3"/>
  </r>
  <r>
    <s v="CUST1874"/>
    <d v="2022-02-01T00:00:00"/>
    <m/>
    <n v="27"/>
    <s v="Male"/>
    <s v="Mumbai"/>
    <x v="1"/>
    <n v="7501.53"/>
    <n v="7"/>
    <n v="17"/>
    <s v="Card"/>
    <x v="0"/>
    <n v="49"/>
    <x v="0"/>
    <x v="3"/>
  </r>
  <r>
    <s v="CUST1875"/>
    <d v="2024-03-12T00:00:00"/>
    <d v="2024-04-17T00:00:00"/>
    <n v="34"/>
    <s v="Female"/>
    <s v="Mumbai"/>
    <x v="2"/>
    <n v="9770.41"/>
    <n v="7"/>
    <n v="59"/>
    <s v="Card"/>
    <x v="1"/>
    <n v="1"/>
    <x v="1"/>
    <x v="3"/>
  </r>
  <r>
    <s v="CUST1876"/>
    <d v="2022-09-23T00:00:00"/>
    <d v="2022-12-25T00:00:00"/>
    <n v="27"/>
    <s v="Male"/>
    <s v="Hyderabad"/>
    <x v="2"/>
    <n v="14781.79"/>
    <n v="8"/>
    <n v="56"/>
    <s v="UPI"/>
    <x v="1"/>
    <n v="3"/>
    <x v="1"/>
    <x v="3"/>
  </r>
  <r>
    <s v="CUST1877"/>
    <d v="2024-01-04T00:00:00"/>
    <m/>
    <n v="37"/>
    <s v="Male"/>
    <s v="Kolkata"/>
    <x v="0"/>
    <n v="21840.25"/>
    <n v="18"/>
    <n v="81"/>
    <s v="UPI"/>
    <x v="0"/>
    <n v="26"/>
    <x v="2"/>
    <x v="2"/>
  </r>
  <r>
    <s v="CUST1878"/>
    <d v="2024-04-26T00:00:00"/>
    <m/>
    <n v="31"/>
    <s v="Female"/>
    <s v="Bangalore"/>
    <x v="0"/>
    <n v="5216.7700000000004"/>
    <n v="5"/>
    <n v="35"/>
    <s v="PayPal"/>
    <x v="0"/>
    <n v="22"/>
    <x v="0"/>
    <x v="3"/>
  </r>
  <r>
    <s v="CUST1879"/>
    <d v="2022-03-08T00:00:00"/>
    <d v="2022-05-07T00:00:00"/>
    <n v="51"/>
    <s v="Female"/>
    <s v="Kolkata"/>
    <x v="2"/>
    <n v="5580.41"/>
    <n v="4"/>
    <n v="30"/>
    <s v="UPI"/>
    <x v="1"/>
    <n v="1"/>
    <x v="0"/>
    <x v="1"/>
  </r>
  <r>
    <s v="CUST1880"/>
    <d v="2024-04-21T00:00:00"/>
    <m/>
    <n v="48"/>
    <s v="Male"/>
    <s v="Bangalore"/>
    <x v="1"/>
    <n v="2950.86"/>
    <n v="4"/>
    <n v="38"/>
    <s v="UPI"/>
    <x v="0"/>
    <n v="22"/>
    <x v="0"/>
    <x v="1"/>
  </r>
  <r>
    <s v="CUST1881"/>
    <d v="2022-07-23T00:00:00"/>
    <d v="2023-06-22T00:00:00"/>
    <n v="35"/>
    <s v="Male"/>
    <s v="Bangalore"/>
    <x v="1"/>
    <n v="11617.44"/>
    <n v="12"/>
    <n v="52"/>
    <s v="UPI"/>
    <x v="1"/>
    <n v="10"/>
    <x v="1"/>
    <x v="2"/>
  </r>
  <r>
    <s v="CUST1882"/>
    <d v="2023-05-21T00:00:00"/>
    <m/>
    <n v="28"/>
    <s v="Male"/>
    <s v="Delhi"/>
    <x v="0"/>
    <n v="7116.83"/>
    <n v="5"/>
    <n v="63"/>
    <s v="Card"/>
    <x v="0"/>
    <n v="33"/>
    <x v="1"/>
    <x v="3"/>
  </r>
  <r>
    <s v="CUST1883"/>
    <d v="2022-05-02T00:00:00"/>
    <m/>
    <n v="39"/>
    <s v="Male"/>
    <s v="Mumbai"/>
    <x v="2"/>
    <n v="9570.86"/>
    <n v="8"/>
    <n v="68"/>
    <s v="UPI"/>
    <x v="0"/>
    <n v="46"/>
    <x v="1"/>
    <x v="2"/>
  </r>
  <r>
    <s v="CUST1884"/>
    <d v="2022-11-18T00:00:00"/>
    <m/>
    <n v="18"/>
    <s v="Male"/>
    <s v="Mumbai"/>
    <x v="2"/>
    <n v="20060.12"/>
    <n v="29"/>
    <n v="70"/>
    <s v="Other"/>
    <x v="0"/>
    <n v="39"/>
    <x v="1"/>
    <x v="0"/>
  </r>
  <r>
    <s v="CUST1885"/>
    <d v="2023-04-28T00:00:00"/>
    <m/>
    <n v="26"/>
    <s v="Male"/>
    <s v="Mumbai"/>
    <x v="0"/>
    <n v="6137.87"/>
    <n v="11"/>
    <n v="45"/>
    <s v="PayPal"/>
    <x v="0"/>
    <n v="34"/>
    <x v="1"/>
    <x v="3"/>
  </r>
  <r>
    <s v="CUST1886"/>
    <d v="2023-12-05T00:00:00"/>
    <m/>
    <n v="53"/>
    <s v="Female"/>
    <s v="Delhi"/>
    <x v="1"/>
    <n v="9496.44"/>
    <n v="6"/>
    <n v="62"/>
    <s v="PayPal"/>
    <x v="0"/>
    <n v="27"/>
    <x v="1"/>
    <x v="1"/>
  </r>
  <r>
    <s v="CUST1887"/>
    <d v="2022-03-23T00:00:00"/>
    <m/>
    <n v="51"/>
    <s v="Female"/>
    <s v="Delhi"/>
    <x v="2"/>
    <n v="28700.03"/>
    <n v="15"/>
    <n v="72"/>
    <s v="UPI"/>
    <x v="0"/>
    <n v="47"/>
    <x v="2"/>
    <x v="1"/>
  </r>
  <r>
    <s v="CUST1888"/>
    <d v="2022-05-14T00:00:00"/>
    <m/>
    <n v="44"/>
    <s v="Female"/>
    <s v="Hyderabad"/>
    <x v="2"/>
    <n v="10351.67"/>
    <n v="5"/>
    <n v="59"/>
    <s v="Card"/>
    <x v="0"/>
    <n v="46"/>
    <x v="1"/>
    <x v="2"/>
  </r>
  <r>
    <s v="CUST1889"/>
    <d v="2023-09-16T00:00:00"/>
    <m/>
    <n v="52"/>
    <s v="Male"/>
    <s v="Kolkata"/>
    <x v="1"/>
    <n v="19452.07"/>
    <n v="28"/>
    <n v="94"/>
    <s v="Card"/>
    <x v="0"/>
    <n v="30"/>
    <x v="2"/>
    <x v="1"/>
  </r>
  <r>
    <s v="CUST1890"/>
    <d v="2023-03-20T00:00:00"/>
    <m/>
    <n v="59"/>
    <s v="Female"/>
    <s v="Kolkata"/>
    <x v="2"/>
    <n v="5945.26"/>
    <n v="7"/>
    <n v="59"/>
    <s v="PayPal"/>
    <x v="0"/>
    <n v="35"/>
    <x v="1"/>
    <x v="1"/>
  </r>
  <r>
    <s v="CUST1891"/>
    <d v="2023-11-10T00:00:00"/>
    <m/>
    <n v="58"/>
    <s v="Female"/>
    <s v="Bangalore"/>
    <x v="1"/>
    <n v="3873.76"/>
    <n v="6"/>
    <n v="18"/>
    <s v="Card"/>
    <x v="0"/>
    <n v="28"/>
    <x v="0"/>
    <x v="1"/>
  </r>
  <r>
    <s v="CUST1892"/>
    <d v="2024-05-13T00:00:00"/>
    <m/>
    <n v="55"/>
    <s v="Female"/>
    <s v="Pune"/>
    <x v="1"/>
    <n v="5640.28"/>
    <n v="2"/>
    <n v="10"/>
    <s v="Card"/>
    <x v="0"/>
    <n v="22"/>
    <x v="0"/>
    <x v="1"/>
  </r>
  <r>
    <s v="CUST1893"/>
    <d v="2022-02-20T00:00:00"/>
    <d v="2022-05-28T00:00:00"/>
    <n v="36"/>
    <s v="Female"/>
    <s v="Mumbai"/>
    <x v="0"/>
    <n v="12954.22"/>
    <n v="6"/>
    <n v="65"/>
    <s v="PayPal"/>
    <x v="1"/>
    <n v="3"/>
    <x v="1"/>
    <x v="2"/>
  </r>
  <r>
    <s v="CUST1894"/>
    <d v="2022-05-23T00:00:00"/>
    <m/>
    <n v="36"/>
    <s v="Male"/>
    <s v="Mumbai"/>
    <x v="0"/>
    <n v="14749.22"/>
    <n v="8"/>
    <n v="49"/>
    <s v="Card"/>
    <x v="0"/>
    <n v="45"/>
    <x v="1"/>
    <x v="2"/>
  </r>
  <r>
    <s v="CUST1895"/>
    <d v="2023-05-18T00:00:00"/>
    <m/>
    <n v="37"/>
    <s v="Male"/>
    <s v="Bangalore"/>
    <x v="1"/>
    <n v="7893.25"/>
    <n v="4"/>
    <n v="12"/>
    <s v="UPI"/>
    <x v="0"/>
    <n v="33"/>
    <x v="0"/>
    <x v="2"/>
  </r>
  <r>
    <s v="CUST1896"/>
    <d v="2022-05-01T00:00:00"/>
    <m/>
    <n v="54"/>
    <s v="Female"/>
    <s v="Pune"/>
    <x v="1"/>
    <n v="23680.38"/>
    <n v="15"/>
    <n v="72"/>
    <s v="Card"/>
    <x v="0"/>
    <n v="46"/>
    <x v="2"/>
    <x v="1"/>
  </r>
  <r>
    <s v="CUST1897"/>
    <d v="2023-12-23T00:00:00"/>
    <m/>
    <n v="42"/>
    <s v="Male"/>
    <s v="Bangalore"/>
    <x v="1"/>
    <n v="4397.24"/>
    <n v="5"/>
    <n v="10"/>
    <s v="UPI"/>
    <x v="0"/>
    <n v="26"/>
    <x v="0"/>
    <x v="2"/>
  </r>
  <r>
    <s v="CUST1898"/>
    <d v="2023-04-16T00:00:00"/>
    <m/>
    <n v="49"/>
    <s v="Male"/>
    <s v="Kolkata"/>
    <x v="0"/>
    <n v="9650.0499999999993"/>
    <n v="8"/>
    <n v="49"/>
    <s v="UPI"/>
    <x v="0"/>
    <n v="35"/>
    <x v="1"/>
    <x v="1"/>
  </r>
  <r>
    <s v="CUST1899"/>
    <d v="2023-02-05T00:00:00"/>
    <d v="2023-06-27T00:00:00"/>
    <n v="18"/>
    <s v="Male"/>
    <s v="Bangalore"/>
    <x v="1"/>
    <n v="9451.35"/>
    <n v="6"/>
    <n v="50"/>
    <s v="Card"/>
    <x v="1"/>
    <n v="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0EC355-60A4-452B-9764-9036482FB51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7339-CE18-492D-AD4F-395A727BD56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ubscription Type">
  <location ref="A3:D8" firstHeaderRow="1" firstDataRow="2" firstDataCol="1"/>
  <pivotFields count="15">
    <pivotField dataField="1"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C04915-FA51-4414-966B-D3469B27D9E6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Engagement Group">
  <location ref="A3:D8" firstHeaderRow="1" firstDataRow="2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4854D-8EFD-4DFC-AEB0-189B0E52903D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Age Group">
  <location ref="A3:D9" firstHeaderRow="1" firstDataRow="2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9498D-0224-411E-84D4-E7C46E88390E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of Subscription Duration " fld="12" subtotal="average" baseField="11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9A381-BBE5-4C25-B9E0-8342166728C3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Average of TotalSpent" fld="7" subtotal="average" baseField="11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C4D7E-C6BE-42CA-8E37-6339D7909E11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8" firstHeaderRow="1" firstDataRow="2" firstDataCol="1" rowPageCount="1" colPageCount="1"/>
  <pivotFields count="15">
    <pivotField dataField="1" showAll="0"/>
    <pivotField numFmtId="14"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pageFields count="1">
    <pageField fld="11" hier="-1"/>
  </pageFields>
  <dataFields count="1">
    <dataField name="Count of Customer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21330-96B6-40F4-9890-1542CE495C8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7" firstHeaderRow="1" firstDataRow="2" firstDataCol="1"/>
  <pivotFields count="15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Average of TotalSpent" fld="7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9ABD5-5575-4A4F-B094-0BDE6063913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1" firstDataRow="2" firstDataCol="1"/>
  <pivotFields count="15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axis="axisCol" showAll="0">
      <items count="3">
        <item h="1" x="0"/>
        <item x="1"/>
        <item t="default"/>
      </items>
    </pivotField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1"/>
  </colFields>
  <colItems count="2">
    <i>
      <x v="1"/>
    </i>
    <i t="grand">
      <x/>
    </i>
  </colItems>
  <dataFields count="1">
    <dataField name="Sum of TotalSpe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90D34F-202A-4EF0-92C6-B183C260FE78}" name="Table1" displayName="Table1" ref="A1:O901" totalsRowShown="0" headerRowDxfId="7" headerRowBorderDxfId="6" tableBorderDxfId="5">
  <autoFilter ref="A1:O901" xr:uid="{7790D34F-202A-4EF0-92C6-B183C260FE78}"/>
  <tableColumns count="15">
    <tableColumn id="1" xr3:uid="{25BC14F9-33A5-42C1-A06F-87DE76E7A524}" name="CustomerID"/>
    <tableColumn id="2" xr3:uid="{08D43407-E268-4753-A7C3-7A5B8FF8BBFD}" name="JoinDate" dataDxfId="4"/>
    <tableColumn id="3" xr3:uid="{7B9BBE53-4152-4A45-B5B7-4353D6E9C314}" name="CancelDate"/>
    <tableColumn id="4" xr3:uid="{5F626B7C-EDA1-44FC-BE7F-7445176394B7}" name="Age"/>
    <tableColumn id="5" xr3:uid="{08B443F4-E767-4E35-8A2E-88E2D7CB502F}" name="Gender"/>
    <tableColumn id="6" xr3:uid="{F2A3976F-0DF3-4DF7-B1D5-76B944A4EC2D}" name="Location"/>
    <tableColumn id="7" xr3:uid="{450486DF-17A5-4242-BDD4-A7AD792B8959}" name="SubscriptionType"/>
    <tableColumn id="8" xr3:uid="{3642BBF0-9556-4AA0-89DF-B1469C393B84}" name="TotalSpent"/>
    <tableColumn id="9" xr3:uid="{E5BB232B-27A1-4DDE-AF84-3EF35D1A7BF2}" name="BoxesReceived"/>
    <tableColumn id="10" xr3:uid="{6C733EAD-D925-476F-921D-6C72026F9E07}" name="EngagementScore"/>
    <tableColumn id="11" xr3:uid="{4CC8633E-5033-4852-9359-D0D8AA08F1CD}" name="PaymentMode"/>
    <tableColumn id="12" xr3:uid="{596E7F53-669A-4166-B9A2-52A6C2619B17}" name="Churn Status" dataDxfId="3">
      <calculatedColumnFormula>IF(ISBLANK(Table1[[#This Row],[CancelDate]]),"Active","Churned")</calculatedColumnFormula>
    </tableColumn>
    <tableColumn id="13" xr3:uid="{7F62EB9D-DD1B-4F4A-B914-2A0944AFF3C5}" name="Subscription Duration " dataDxfId="2">
      <calculatedColumnFormula>IF(ISBLANK(Table1[[#This Row],[CancelDate]]),DATEDIF(Table1[[#This Row],[JoinDate]],TODAY(),"M"),DATEDIF(Table1[[#This Row],[JoinDate]],Table1[[#This Row],[CancelDate]],"M"))</calculatedColumnFormula>
    </tableColumn>
    <tableColumn id="14" xr3:uid="{C2D3FD5C-FEA6-4C06-AD83-65C3873BCFE4}" name="Engagement Group" dataDxfId="1">
      <calculatedColumnFormula>IF(Table1[[#This Row],[EngagementScore]]&lt;=40,"Low",IF(Table1[[#This Row],[EngagementScore]]&lt;=70,"Medium","High"))</calculatedColumnFormula>
    </tableColumn>
    <tableColumn id="15" xr3:uid="{C1A8699F-C59F-48D1-BEF4-4C6E7D95E2E8}" name="Age Group" dataDxfId="0">
      <calculatedColumnFormula>IF(Table1[[#This Row],[Age]]&lt;25,"18-24",
IF(Table1[[#This Row],[Age]]&lt;35,"25-34",
IF(Table1[[#This Row],[Age]]&lt;45,"35-44","45+")))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14F7-57C8-4646-ABFE-F7D2B7F954ED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9.7109375" bestFit="1" customWidth="1"/>
  </cols>
  <sheetData>
    <row r="3" spans="1:2" x14ac:dyDescent="0.25">
      <c r="A3" s="5" t="s">
        <v>930</v>
      </c>
      <c r="B3" t="s">
        <v>934</v>
      </c>
    </row>
    <row r="4" spans="1:2" x14ac:dyDescent="0.25">
      <c r="A4" s="6" t="s">
        <v>931</v>
      </c>
      <c r="B4">
        <v>551</v>
      </c>
    </row>
    <row r="5" spans="1:2" x14ac:dyDescent="0.25">
      <c r="A5" s="6" t="s">
        <v>932</v>
      </c>
      <c r="B5">
        <v>349</v>
      </c>
    </row>
    <row r="6" spans="1:2" x14ac:dyDescent="0.25">
      <c r="A6" s="6" t="s">
        <v>933</v>
      </c>
      <c r="B6">
        <v>900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37A3-39E7-4B59-BE0E-7A2DD75DF6DD}">
  <dimension ref="A3:D8"/>
  <sheetViews>
    <sheetView workbookViewId="0">
      <selection activeCell="A3" sqref="A3:D8"/>
    </sheetView>
  </sheetViews>
  <sheetFormatPr defaultRowHeight="15" x14ac:dyDescent="0.25"/>
  <cols>
    <col min="1" max="1" width="19.7109375" bestFit="1" customWidth="1"/>
    <col min="2" max="2" width="16.28515625" bestFit="1" customWidth="1"/>
    <col min="3" max="3" width="8.5703125" bestFit="1" customWidth="1"/>
    <col min="4" max="4" width="11.28515625" bestFit="1" customWidth="1"/>
  </cols>
  <sheetData>
    <row r="3" spans="1:4" x14ac:dyDescent="0.25">
      <c r="A3" s="5" t="s">
        <v>934</v>
      </c>
      <c r="B3" s="5" t="s">
        <v>935</v>
      </c>
    </row>
    <row r="4" spans="1:4" x14ac:dyDescent="0.25">
      <c r="A4" s="5" t="s">
        <v>936</v>
      </c>
      <c r="B4" t="s">
        <v>931</v>
      </c>
      <c r="C4" t="s">
        <v>932</v>
      </c>
      <c r="D4" t="s">
        <v>933</v>
      </c>
    </row>
    <row r="5" spans="1:4" x14ac:dyDescent="0.25">
      <c r="A5" s="6" t="s">
        <v>920</v>
      </c>
      <c r="B5" s="7">
        <v>0.60447761194029848</v>
      </c>
      <c r="C5" s="7">
        <v>0.39552238805970147</v>
      </c>
      <c r="D5" s="7">
        <v>1</v>
      </c>
    </row>
    <row r="6" spans="1:4" x14ac:dyDescent="0.25">
      <c r="A6" s="6" t="s">
        <v>921</v>
      </c>
      <c r="B6" s="7">
        <v>0.60041841004184104</v>
      </c>
      <c r="C6" s="7">
        <v>0.39958158995815901</v>
      </c>
      <c r="D6" s="7">
        <v>1</v>
      </c>
    </row>
    <row r="7" spans="1:4" x14ac:dyDescent="0.25">
      <c r="A7" s="6" t="s">
        <v>922</v>
      </c>
      <c r="B7" s="7">
        <v>0.63541666666666663</v>
      </c>
      <c r="C7" s="7">
        <v>0.36458333333333331</v>
      </c>
      <c r="D7" s="7">
        <v>1</v>
      </c>
    </row>
    <row r="8" spans="1:4" x14ac:dyDescent="0.25">
      <c r="A8" s="6" t="s">
        <v>933</v>
      </c>
      <c r="B8" s="7">
        <v>0.61222222222222222</v>
      </c>
      <c r="C8" s="7">
        <v>0.38777777777777778</v>
      </c>
      <c r="D8" s="7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C031-144E-4326-B73F-B9F5B81BD7FD}">
  <dimension ref="A3:D8"/>
  <sheetViews>
    <sheetView workbookViewId="0">
      <selection activeCell="R11" sqref="R11"/>
    </sheetView>
  </sheetViews>
  <sheetFormatPr defaultRowHeight="15" x14ac:dyDescent="0.25"/>
  <cols>
    <col min="1" max="1" width="20.5703125" bestFit="1" customWidth="1"/>
    <col min="2" max="2" width="16.28515625" bestFit="1" customWidth="1"/>
    <col min="3" max="3" width="8.5703125" bestFit="1" customWidth="1"/>
    <col min="4" max="4" width="11.28515625" bestFit="1" customWidth="1"/>
  </cols>
  <sheetData>
    <row r="3" spans="1:4" x14ac:dyDescent="0.25">
      <c r="A3" s="5" t="s">
        <v>934</v>
      </c>
      <c r="B3" s="5" t="s">
        <v>935</v>
      </c>
    </row>
    <row r="4" spans="1:4" x14ac:dyDescent="0.25">
      <c r="A4" s="5" t="s">
        <v>928</v>
      </c>
      <c r="B4" t="s">
        <v>931</v>
      </c>
      <c r="C4" t="s">
        <v>932</v>
      </c>
      <c r="D4" t="s">
        <v>933</v>
      </c>
    </row>
    <row r="5" spans="1:4" x14ac:dyDescent="0.25">
      <c r="A5" s="6" t="s">
        <v>937</v>
      </c>
      <c r="B5" s="7">
        <v>0.8657407407407407</v>
      </c>
      <c r="C5" s="7">
        <v>0.13425925925925927</v>
      </c>
      <c r="D5" s="7">
        <v>1</v>
      </c>
    </row>
    <row r="6" spans="1:4" x14ac:dyDescent="0.25">
      <c r="A6" s="6" t="s">
        <v>938</v>
      </c>
      <c r="B6" s="7">
        <v>0.42818428184281843</v>
      </c>
      <c r="C6" s="7">
        <v>0.57181571815718157</v>
      </c>
      <c r="D6" s="7">
        <v>1</v>
      </c>
    </row>
    <row r="7" spans="1:4" x14ac:dyDescent="0.25">
      <c r="A7" s="6" t="s">
        <v>939</v>
      </c>
      <c r="B7" s="7">
        <v>0.65396825396825398</v>
      </c>
      <c r="C7" s="7">
        <v>0.34603174603174602</v>
      </c>
      <c r="D7" s="7">
        <v>1</v>
      </c>
    </row>
    <row r="8" spans="1:4" x14ac:dyDescent="0.25">
      <c r="A8" s="6" t="s">
        <v>933</v>
      </c>
      <c r="B8" s="7">
        <v>0.61222222222222222</v>
      </c>
      <c r="C8" s="7">
        <v>0.38777777777777778</v>
      </c>
      <c r="D8" s="7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78B9-128A-4CE1-8144-FDB8F0196A51}">
  <dimension ref="A3:D9"/>
  <sheetViews>
    <sheetView workbookViewId="0">
      <selection activeCell="E3" sqref="E3:E9"/>
    </sheetView>
  </sheetViews>
  <sheetFormatPr defaultRowHeight="15" x14ac:dyDescent="0.25"/>
  <cols>
    <col min="1" max="1" width="19.7109375" bestFit="1" customWidth="1"/>
    <col min="2" max="2" width="16.28515625" bestFit="1" customWidth="1"/>
    <col min="3" max="3" width="8.5703125" bestFit="1" customWidth="1"/>
    <col min="4" max="4" width="11.28515625" bestFit="1" customWidth="1"/>
  </cols>
  <sheetData>
    <row r="3" spans="1:4" x14ac:dyDescent="0.25">
      <c r="A3" s="5" t="s">
        <v>934</v>
      </c>
      <c r="B3" s="5" t="s">
        <v>935</v>
      </c>
    </row>
    <row r="4" spans="1:4" x14ac:dyDescent="0.25">
      <c r="A4" s="5" t="s">
        <v>929</v>
      </c>
      <c r="B4" t="s">
        <v>931</v>
      </c>
      <c r="C4" t="s">
        <v>932</v>
      </c>
      <c r="D4" t="s">
        <v>933</v>
      </c>
    </row>
    <row r="5" spans="1:4" x14ac:dyDescent="0.25">
      <c r="A5" s="6" t="s">
        <v>940</v>
      </c>
      <c r="B5" s="7">
        <v>0.60869565217391308</v>
      </c>
      <c r="C5" s="7">
        <v>0.39130434782608697</v>
      </c>
      <c r="D5" s="7">
        <v>1</v>
      </c>
    </row>
    <row r="6" spans="1:4" x14ac:dyDescent="0.25">
      <c r="A6" s="6" t="s">
        <v>941</v>
      </c>
      <c r="B6" s="7">
        <v>0.58851674641148322</v>
      </c>
      <c r="C6" s="7">
        <v>0.41148325358851673</v>
      </c>
      <c r="D6" s="7">
        <v>1</v>
      </c>
    </row>
    <row r="7" spans="1:4" x14ac:dyDescent="0.25">
      <c r="A7" s="6" t="s">
        <v>942</v>
      </c>
      <c r="B7" s="7">
        <v>0.65044247787610621</v>
      </c>
      <c r="C7" s="7">
        <v>0.34955752212389379</v>
      </c>
      <c r="D7" s="7">
        <v>1</v>
      </c>
    </row>
    <row r="8" spans="1:4" x14ac:dyDescent="0.25">
      <c r="A8" s="6" t="s">
        <v>943</v>
      </c>
      <c r="B8" s="7">
        <v>0.60197368421052633</v>
      </c>
      <c r="C8" s="7">
        <v>0.39802631578947367</v>
      </c>
      <c r="D8" s="7">
        <v>1</v>
      </c>
    </row>
    <row r="9" spans="1:4" x14ac:dyDescent="0.25">
      <c r="A9" s="6" t="s">
        <v>933</v>
      </c>
      <c r="B9" s="7">
        <v>0.61222222222222222</v>
      </c>
      <c r="C9" s="7">
        <v>0.38777777777777778</v>
      </c>
      <c r="D9" s="7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F570-2704-4EEF-9075-EC9E6BA536F4}">
  <dimension ref="A3:B6"/>
  <sheetViews>
    <sheetView workbookViewId="0">
      <selection activeCell="L37" sqref="L37"/>
    </sheetView>
  </sheetViews>
  <sheetFormatPr defaultRowHeight="15" x14ac:dyDescent="0.25"/>
  <cols>
    <col min="1" max="1" width="13.140625" bestFit="1" customWidth="1"/>
    <col min="2" max="2" width="31.28515625" bestFit="1" customWidth="1"/>
  </cols>
  <sheetData>
    <row r="3" spans="1:2" x14ac:dyDescent="0.25">
      <c r="A3" s="5" t="s">
        <v>930</v>
      </c>
      <c r="B3" t="s">
        <v>944</v>
      </c>
    </row>
    <row r="4" spans="1:2" x14ac:dyDescent="0.25">
      <c r="A4" s="6" t="s">
        <v>931</v>
      </c>
      <c r="B4" s="8">
        <v>35.041742286751358</v>
      </c>
    </row>
    <row r="5" spans="1:2" x14ac:dyDescent="0.25">
      <c r="A5" s="6" t="s">
        <v>932</v>
      </c>
      <c r="B5" s="8">
        <v>6.2521489971346709</v>
      </c>
    </row>
    <row r="6" spans="1:2" x14ac:dyDescent="0.25">
      <c r="A6" s="6" t="s">
        <v>933</v>
      </c>
      <c r="B6" s="8">
        <v>23.877777777777776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6B98-E787-49B7-9EB8-3C34306762AA}">
  <dimension ref="A3:B6"/>
  <sheetViews>
    <sheetView workbookViewId="0">
      <selection activeCell="N33" sqref="N33"/>
    </sheetView>
  </sheetViews>
  <sheetFormatPr defaultRowHeight="15" x14ac:dyDescent="0.25"/>
  <cols>
    <col min="1" max="1" width="13.140625" bestFit="1" customWidth="1"/>
    <col min="2" max="2" width="20.85546875" bestFit="1" customWidth="1"/>
  </cols>
  <sheetData>
    <row r="3" spans="1:2" x14ac:dyDescent="0.25">
      <c r="A3" s="5" t="s">
        <v>930</v>
      </c>
      <c r="B3" t="s">
        <v>945</v>
      </c>
    </row>
    <row r="4" spans="1:2" x14ac:dyDescent="0.25">
      <c r="A4" s="6" t="s">
        <v>931</v>
      </c>
      <c r="B4" s="8">
        <v>12621.642123411973</v>
      </c>
    </row>
    <row r="5" spans="1:2" x14ac:dyDescent="0.25">
      <c r="A5" s="6" t="s">
        <v>932</v>
      </c>
      <c r="B5" s="8">
        <v>8043.7290830945549</v>
      </c>
    </row>
    <row r="6" spans="1:2" x14ac:dyDescent="0.25">
      <c r="A6" s="6" t="s">
        <v>933</v>
      </c>
      <c r="B6" s="8">
        <v>10846.429177777773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4E54-9AB5-408B-8D0B-878394323EF6}">
  <dimension ref="A1:E8"/>
  <sheetViews>
    <sheetView workbookViewId="0">
      <selection activeCell="A3" sqref="A3"/>
    </sheetView>
  </sheetViews>
  <sheetFormatPr defaultRowHeight="15" x14ac:dyDescent="0.25"/>
  <cols>
    <col min="1" max="1" width="19.7109375" bestFit="1" customWidth="1"/>
    <col min="2" max="2" width="16.28515625" bestFit="1" customWidth="1"/>
    <col min="3" max="3" width="12.5703125" customWidth="1"/>
    <col min="4" max="4" width="17" customWidth="1"/>
    <col min="5" max="5" width="11.28515625" bestFit="1" customWidth="1"/>
  </cols>
  <sheetData>
    <row r="1" spans="1:5" x14ac:dyDescent="0.25">
      <c r="A1" s="5" t="s">
        <v>926</v>
      </c>
      <c r="B1" t="s">
        <v>932</v>
      </c>
    </row>
    <row r="3" spans="1:5" x14ac:dyDescent="0.25">
      <c r="A3" s="5" t="s">
        <v>934</v>
      </c>
      <c r="B3" s="5" t="s">
        <v>935</v>
      </c>
    </row>
    <row r="4" spans="1:5" x14ac:dyDescent="0.25">
      <c r="A4" s="5" t="s">
        <v>930</v>
      </c>
      <c r="B4" t="s">
        <v>920</v>
      </c>
      <c r="C4" t="s">
        <v>921</v>
      </c>
      <c r="D4" t="s">
        <v>922</v>
      </c>
      <c r="E4" t="s">
        <v>933</v>
      </c>
    </row>
    <row r="5" spans="1:5" x14ac:dyDescent="0.25">
      <c r="A5" s="6" t="s">
        <v>937</v>
      </c>
      <c r="B5">
        <v>7</v>
      </c>
      <c r="C5">
        <v>14</v>
      </c>
      <c r="D5">
        <v>8</v>
      </c>
      <c r="E5">
        <v>29</v>
      </c>
    </row>
    <row r="6" spans="1:5" x14ac:dyDescent="0.25">
      <c r="A6" s="6" t="s">
        <v>938</v>
      </c>
      <c r="B6">
        <v>33</v>
      </c>
      <c r="C6">
        <v>115</v>
      </c>
      <c r="D6">
        <v>63</v>
      </c>
      <c r="E6">
        <v>211</v>
      </c>
    </row>
    <row r="7" spans="1:5" x14ac:dyDescent="0.25">
      <c r="A7" s="6" t="s">
        <v>939</v>
      </c>
      <c r="B7">
        <v>13</v>
      </c>
      <c r="C7">
        <v>62</v>
      </c>
      <c r="D7">
        <v>34</v>
      </c>
      <c r="E7">
        <v>109</v>
      </c>
    </row>
    <row r="8" spans="1:5" x14ac:dyDescent="0.25">
      <c r="A8" s="6" t="s">
        <v>933</v>
      </c>
      <c r="B8">
        <v>53</v>
      </c>
      <c r="C8">
        <v>191</v>
      </c>
      <c r="D8">
        <v>105</v>
      </c>
      <c r="E8">
        <v>349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5AEA-000E-4C5A-B1F4-77E28E399A1F}">
  <dimension ref="A3:D17"/>
  <sheetViews>
    <sheetView tabSelected="1" workbookViewId="0">
      <selection activeCell="J25" sqref="J25"/>
    </sheetView>
  </sheetViews>
  <sheetFormatPr defaultRowHeight="15" x14ac:dyDescent="0.25"/>
  <cols>
    <col min="1" max="1" width="20.85546875" bestFit="1" customWidth="1"/>
    <col min="2" max="2" width="16.28515625" bestFit="1" customWidth="1"/>
    <col min="3" max="4" width="12" bestFit="1" customWidth="1"/>
  </cols>
  <sheetData>
    <row r="3" spans="1:4" x14ac:dyDescent="0.25">
      <c r="A3" s="5" t="s">
        <v>946</v>
      </c>
      <c r="B3" s="5" t="s">
        <v>935</v>
      </c>
    </row>
    <row r="4" spans="1:4" x14ac:dyDescent="0.25">
      <c r="A4" s="5" t="s">
        <v>930</v>
      </c>
      <c r="B4" t="s">
        <v>932</v>
      </c>
      <c r="C4" t="s">
        <v>933</v>
      </c>
    </row>
    <row r="5" spans="1:4" x14ac:dyDescent="0.25">
      <c r="A5" s="6" t="s">
        <v>920</v>
      </c>
      <c r="B5" s="9">
        <v>464548.13999999996</v>
      </c>
      <c r="C5" s="9">
        <v>464548.13999999996</v>
      </c>
    </row>
    <row r="6" spans="1:4" x14ac:dyDescent="0.25">
      <c r="A6" s="6" t="s">
        <v>921</v>
      </c>
      <c r="B6" s="9">
        <v>1509080.5499999998</v>
      </c>
      <c r="C6" s="9">
        <v>1509080.5499999998</v>
      </c>
    </row>
    <row r="7" spans="1:4" x14ac:dyDescent="0.25">
      <c r="A7" s="6" t="s">
        <v>922</v>
      </c>
      <c r="B7" s="9">
        <v>833632.76</v>
      </c>
      <c r="C7" s="9">
        <v>833632.76</v>
      </c>
    </row>
    <row r="8" spans="1:4" x14ac:dyDescent="0.25">
      <c r="A8" s="6" t="s">
        <v>933</v>
      </c>
      <c r="B8" s="9">
        <v>2807261.4499999997</v>
      </c>
      <c r="C8" s="9">
        <v>2807261.4499999997</v>
      </c>
    </row>
    <row r="12" spans="1:4" x14ac:dyDescent="0.25">
      <c r="A12" s="5" t="s">
        <v>945</v>
      </c>
      <c r="B12" s="5" t="s">
        <v>935</v>
      </c>
    </row>
    <row r="13" spans="1:4" x14ac:dyDescent="0.25">
      <c r="A13" s="5" t="s">
        <v>930</v>
      </c>
      <c r="B13" t="s">
        <v>931</v>
      </c>
      <c r="C13" t="s">
        <v>932</v>
      </c>
      <c r="D13" t="s">
        <v>933</v>
      </c>
    </row>
    <row r="14" spans="1:4" x14ac:dyDescent="0.25">
      <c r="A14" s="6" t="s">
        <v>920</v>
      </c>
      <c r="B14" s="9">
        <v>12495.359506172841</v>
      </c>
      <c r="C14" s="9">
        <v>8765.0592452830151</v>
      </c>
      <c r="D14" s="9">
        <v>11019.942238805972</v>
      </c>
    </row>
    <row r="15" spans="1:4" x14ac:dyDescent="0.25">
      <c r="A15" s="6" t="s">
        <v>921</v>
      </c>
      <c r="B15" s="9">
        <v>12557.437491289187</v>
      </c>
      <c r="C15" s="9">
        <v>7900.9452879581168</v>
      </c>
      <c r="D15" s="9">
        <v>10696.788933054388</v>
      </c>
    </row>
    <row r="16" spans="1:4" x14ac:dyDescent="0.25">
      <c r="A16" s="6" t="s">
        <v>922</v>
      </c>
      <c r="B16" s="9">
        <v>12778.230218579232</v>
      </c>
      <c r="C16" s="9">
        <v>7939.3596190476237</v>
      </c>
      <c r="D16" s="9">
        <v>11014.058645833331</v>
      </c>
    </row>
    <row r="17" spans="1:4" x14ac:dyDescent="0.25">
      <c r="A17" s="6" t="s">
        <v>933</v>
      </c>
      <c r="B17" s="9">
        <v>12621.642123411981</v>
      </c>
      <c r="C17" s="9">
        <v>8043.7290830945576</v>
      </c>
      <c r="D17" s="9">
        <v>10846.429177777773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1"/>
  <sheetViews>
    <sheetView topLeftCell="A2" workbookViewId="0">
      <selection activeCell="M1" sqref="M1"/>
    </sheetView>
  </sheetViews>
  <sheetFormatPr defaultRowHeight="15" x14ac:dyDescent="0.25"/>
  <cols>
    <col min="1" max="1" width="16" bestFit="1" customWidth="1"/>
    <col min="2" max="2" width="18.28515625" style="4" bestFit="1" customWidth="1"/>
    <col min="3" max="3" width="18.28515625" bestFit="1" customWidth="1"/>
    <col min="5" max="5" width="9.85546875" customWidth="1"/>
    <col min="6" max="6" width="10.5703125" customWidth="1"/>
    <col min="7" max="7" width="21" bestFit="1" customWidth="1"/>
    <col min="8" max="8" width="15.140625" bestFit="1" customWidth="1"/>
    <col min="9" max="9" width="16.5703125" customWidth="1"/>
    <col min="10" max="10" width="21.5703125" bestFit="1" customWidth="1"/>
    <col min="11" max="11" width="18.85546875" bestFit="1" customWidth="1"/>
    <col min="12" max="12" width="16.7109375" bestFit="1" customWidth="1"/>
    <col min="13" max="13" width="25.42578125" bestFit="1" customWidth="1"/>
    <col min="14" max="14" width="22.85546875" bestFit="1" customWidth="1"/>
    <col min="15" max="15" width="15" bestFit="1" customWidth="1"/>
  </cols>
  <sheetData>
    <row r="1" spans="1:15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926</v>
      </c>
      <c r="M1" s="2" t="s">
        <v>927</v>
      </c>
      <c r="N1" s="2" t="s">
        <v>928</v>
      </c>
      <c r="O1" s="2" t="s">
        <v>929</v>
      </c>
    </row>
    <row r="2" spans="1:15" x14ac:dyDescent="0.25">
      <c r="A2" t="s">
        <v>11</v>
      </c>
      <c r="B2" s="4">
        <v>44737</v>
      </c>
      <c r="D2">
        <v>23</v>
      </c>
      <c r="E2" t="s">
        <v>911</v>
      </c>
      <c r="F2" t="s">
        <v>914</v>
      </c>
      <c r="G2" t="s">
        <v>920</v>
      </c>
      <c r="H2">
        <v>5460.96</v>
      </c>
      <c r="I2">
        <v>5</v>
      </c>
      <c r="J2">
        <v>19</v>
      </c>
      <c r="K2" t="s">
        <v>923</v>
      </c>
      <c r="L2" t="str">
        <f>IF(ISBLANK(Table1[[#This Row],[CancelDate]]),"Active","Churned")</f>
        <v>Active</v>
      </c>
      <c r="M2">
        <f ca="1">IF(ISBLANK(Table1[[#This Row],[CancelDate]]),DATEDIF(Table1[[#This Row],[JoinDate]],TODAY(),"M"),DATEDIF(Table1[[#This Row],[JoinDate]],Table1[[#This Row],[CancelDate]],"M"))</f>
        <v>45</v>
      </c>
      <c r="N2" t="str">
        <f>IF(Table1[[#This Row],[EngagementScore]]&lt;=40,"Low",IF(Table1[[#This Row],[EngagementScore]]&lt;=70,"Medium","High"))</f>
        <v>Low</v>
      </c>
      <c r="O2" t="str">
        <f>IF(Table1[[#This Row],[Age]]&lt;25,"18-24",
IF(Table1[[#This Row],[Age]]&lt;35,"25-34",
IF(Table1[[#This Row],[Age]]&lt;45,"35-44","45+")))</f>
        <v>18-24</v>
      </c>
    </row>
    <row r="3" spans="1:15" x14ac:dyDescent="0.25">
      <c r="A3" t="s">
        <v>12</v>
      </c>
      <c r="B3" s="4">
        <v>44758</v>
      </c>
      <c r="D3">
        <v>57</v>
      </c>
      <c r="E3" t="s">
        <v>911</v>
      </c>
      <c r="F3" t="s">
        <v>915</v>
      </c>
      <c r="G3" t="s">
        <v>921</v>
      </c>
      <c r="H3">
        <v>10078.209999999999</v>
      </c>
      <c r="I3">
        <v>6</v>
      </c>
      <c r="J3">
        <v>40</v>
      </c>
      <c r="K3" t="s">
        <v>924</v>
      </c>
      <c r="L3" t="str">
        <f>IF(ISBLANK(Table1[[#This Row],[CancelDate]]),"Active","Churned")</f>
        <v>Active</v>
      </c>
      <c r="M3">
        <f ca="1">IF(ISBLANK(Table1[[#This Row],[CancelDate]]),DATEDIF(Table1[[#This Row],[JoinDate]],TODAY(),"M"),DATEDIF(Table1[[#This Row],[JoinDate]],Table1[[#This Row],[CancelDate]],"M"))</f>
        <v>44</v>
      </c>
      <c r="N3" t="str">
        <f>IF(Table1[[#This Row],[EngagementScore]]&lt;=40,"Low",IF(Table1[[#This Row],[EngagementScore]]&lt;=70,"Medium","High"))</f>
        <v>Low</v>
      </c>
      <c r="O3" t="str">
        <f>IF(Table1[[#This Row],[Age]]&lt;25,"18-24",
IF(Table1[[#This Row],[Age]]&lt;35,"25-34",
IF(Table1[[#This Row],[Age]]&lt;45,"35-44","45+")))</f>
        <v>45+</v>
      </c>
    </row>
    <row r="4" spans="1:15" x14ac:dyDescent="0.25">
      <c r="A4" t="s">
        <v>13</v>
      </c>
      <c r="B4" s="4">
        <v>45099</v>
      </c>
      <c r="C4" s="1">
        <v>45141</v>
      </c>
      <c r="D4">
        <v>38</v>
      </c>
      <c r="E4" t="s">
        <v>912</v>
      </c>
      <c r="F4" t="s">
        <v>916</v>
      </c>
      <c r="G4" t="s">
        <v>921</v>
      </c>
      <c r="H4">
        <v>10160.16</v>
      </c>
      <c r="I4">
        <v>10</v>
      </c>
      <c r="J4">
        <v>53</v>
      </c>
      <c r="K4" t="s">
        <v>923</v>
      </c>
      <c r="L4" t="str">
        <f>IF(ISBLANK(Table1[[#This Row],[CancelDate]]),"Active","Churned")</f>
        <v>Churned</v>
      </c>
      <c r="M4">
        <f ca="1">IF(ISBLANK(Table1[[#This Row],[CancelDate]]),DATEDIF(Table1[[#This Row],[JoinDate]],TODAY(),"M"),DATEDIF(Table1[[#This Row],[JoinDate]],Table1[[#This Row],[CancelDate]],"M"))</f>
        <v>1</v>
      </c>
      <c r="N4" t="str">
        <f>IF(Table1[[#This Row],[EngagementScore]]&lt;=40,"Low",IF(Table1[[#This Row],[EngagementScore]]&lt;=70,"Medium","High"))</f>
        <v>Medium</v>
      </c>
      <c r="O4" t="str">
        <f>IF(Table1[[#This Row],[Age]]&lt;25,"18-24",
IF(Table1[[#This Row],[Age]]&lt;35,"25-34",
IF(Table1[[#This Row],[Age]]&lt;45,"35-44","45+")))</f>
        <v>35-44</v>
      </c>
    </row>
    <row r="5" spans="1:15" x14ac:dyDescent="0.25">
      <c r="A5" t="s">
        <v>14</v>
      </c>
      <c r="B5" s="4">
        <v>45064</v>
      </c>
      <c r="D5">
        <v>20</v>
      </c>
      <c r="E5" t="s">
        <v>911</v>
      </c>
      <c r="F5" t="s">
        <v>915</v>
      </c>
      <c r="G5" t="s">
        <v>921</v>
      </c>
      <c r="H5">
        <v>23248.74</v>
      </c>
      <c r="I5">
        <v>28</v>
      </c>
      <c r="J5">
        <v>85</v>
      </c>
      <c r="K5" t="s">
        <v>913</v>
      </c>
      <c r="L5" t="str">
        <f>IF(ISBLANK(Table1[[#This Row],[CancelDate]]),"Active","Churned")</f>
        <v>Active</v>
      </c>
      <c r="M5">
        <f ca="1">IF(ISBLANK(Table1[[#This Row],[CancelDate]]),DATEDIF(Table1[[#This Row],[JoinDate]],TODAY(),"M"),DATEDIF(Table1[[#This Row],[JoinDate]],Table1[[#This Row],[CancelDate]],"M"))</f>
        <v>34</v>
      </c>
      <c r="N5" t="str">
        <f>IF(Table1[[#This Row],[EngagementScore]]&lt;=40,"Low",IF(Table1[[#This Row],[EngagementScore]]&lt;=70,"Medium","High"))</f>
        <v>High</v>
      </c>
      <c r="O5" t="str">
        <f>IF(Table1[[#This Row],[Age]]&lt;25,"18-24",
IF(Table1[[#This Row],[Age]]&lt;35,"25-34",
IF(Table1[[#This Row],[Age]]&lt;45,"35-44","45+")))</f>
        <v>18-24</v>
      </c>
    </row>
    <row r="6" spans="1:15" x14ac:dyDescent="0.25">
      <c r="A6" t="s">
        <v>15</v>
      </c>
      <c r="B6" s="4">
        <v>45141</v>
      </c>
      <c r="C6" s="1">
        <v>45346</v>
      </c>
      <c r="D6">
        <v>40</v>
      </c>
      <c r="E6" t="s">
        <v>912</v>
      </c>
      <c r="F6" t="s">
        <v>917</v>
      </c>
      <c r="G6" t="s">
        <v>921</v>
      </c>
      <c r="H6">
        <v>5666.81</v>
      </c>
      <c r="I6">
        <v>6</v>
      </c>
      <c r="J6">
        <v>35</v>
      </c>
      <c r="K6" t="s">
        <v>925</v>
      </c>
      <c r="L6" t="str">
        <f>IF(ISBLANK(Table1[[#This Row],[CancelDate]]),"Active","Churned")</f>
        <v>Churned</v>
      </c>
      <c r="M6">
        <f ca="1">IF(ISBLANK(Table1[[#This Row],[CancelDate]]),DATEDIF(Table1[[#This Row],[JoinDate]],TODAY(),"M"),DATEDIF(Table1[[#This Row],[JoinDate]],Table1[[#This Row],[CancelDate]],"M"))</f>
        <v>6</v>
      </c>
      <c r="N6" t="str">
        <f>IF(Table1[[#This Row],[EngagementScore]]&lt;=40,"Low",IF(Table1[[#This Row],[EngagementScore]]&lt;=70,"Medium","High"))</f>
        <v>Low</v>
      </c>
      <c r="O6" t="str">
        <f>IF(Table1[[#This Row],[Age]]&lt;25,"18-24",
IF(Table1[[#This Row],[Age]]&lt;35,"25-34",
IF(Table1[[#This Row],[Age]]&lt;45,"35-44","45+")))</f>
        <v>35-44</v>
      </c>
    </row>
    <row r="7" spans="1:15" x14ac:dyDescent="0.25">
      <c r="A7" t="s">
        <v>16</v>
      </c>
      <c r="B7" s="4">
        <v>44773</v>
      </c>
      <c r="D7">
        <v>22</v>
      </c>
      <c r="E7" t="s">
        <v>911</v>
      </c>
      <c r="F7" t="s">
        <v>914</v>
      </c>
      <c r="G7" t="s">
        <v>921</v>
      </c>
      <c r="H7">
        <v>2185.5</v>
      </c>
      <c r="I7">
        <v>4</v>
      </c>
      <c r="J7">
        <v>17</v>
      </c>
      <c r="K7" t="s">
        <v>923</v>
      </c>
      <c r="L7" t="str">
        <f>IF(ISBLANK(Table1[[#This Row],[CancelDate]]),"Active","Churned")</f>
        <v>Active</v>
      </c>
      <c r="M7">
        <f ca="1">IF(ISBLANK(Table1[[#This Row],[CancelDate]]),DATEDIF(Table1[[#This Row],[JoinDate]],TODAY(),"M"),DATEDIF(Table1[[#This Row],[JoinDate]],Table1[[#This Row],[CancelDate]],"M"))</f>
        <v>44</v>
      </c>
      <c r="N7" t="str">
        <f>IF(Table1[[#This Row],[EngagementScore]]&lt;=40,"Low",IF(Table1[[#This Row],[EngagementScore]]&lt;=70,"Medium","High"))</f>
        <v>Low</v>
      </c>
      <c r="O7" t="str">
        <f>IF(Table1[[#This Row],[Age]]&lt;25,"18-24",
IF(Table1[[#This Row],[Age]]&lt;35,"25-34",
IF(Table1[[#This Row],[Age]]&lt;45,"35-44","45+")))</f>
        <v>18-24</v>
      </c>
    </row>
    <row r="8" spans="1:15" x14ac:dyDescent="0.25">
      <c r="A8" t="s">
        <v>17</v>
      </c>
      <c r="B8" s="4">
        <v>45177</v>
      </c>
      <c r="D8">
        <v>51</v>
      </c>
      <c r="E8" t="s">
        <v>911</v>
      </c>
      <c r="F8" t="s">
        <v>917</v>
      </c>
      <c r="G8" t="s">
        <v>922</v>
      </c>
      <c r="H8">
        <v>12421.66</v>
      </c>
      <c r="I8">
        <v>11</v>
      </c>
      <c r="J8">
        <v>48</v>
      </c>
      <c r="K8" t="s">
        <v>925</v>
      </c>
      <c r="L8" t="str">
        <f>IF(ISBLANK(Table1[[#This Row],[CancelDate]]),"Active","Churned")</f>
        <v>Active</v>
      </c>
      <c r="M8">
        <f ca="1">IF(ISBLANK(Table1[[#This Row],[CancelDate]]),DATEDIF(Table1[[#This Row],[JoinDate]],TODAY(),"M"),DATEDIF(Table1[[#This Row],[JoinDate]],Table1[[#This Row],[CancelDate]],"M"))</f>
        <v>30</v>
      </c>
      <c r="N8" t="str">
        <f>IF(Table1[[#This Row],[EngagementScore]]&lt;=40,"Low",IF(Table1[[#This Row],[EngagementScore]]&lt;=70,"Medium","High"))</f>
        <v>Medium</v>
      </c>
      <c r="O8" t="str">
        <f>IF(Table1[[#This Row],[Age]]&lt;25,"18-24",
IF(Table1[[#This Row],[Age]]&lt;35,"25-34",
IF(Table1[[#This Row],[Age]]&lt;45,"35-44","45+")))</f>
        <v>45+</v>
      </c>
    </row>
    <row r="9" spans="1:15" x14ac:dyDescent="0.25">
      <c r="A9" t="s">
        <v>18</v>
      </c>
      <c r="B9" s="4">
        <v>44910</v>
      </c>
      <c r="C9" s="1">
        <v>45246</v>
      </c>
      <c r="D9">
        <v>57</v>
      </c>
      <c r="E9" t="s">
        <v>911</v>
      </c>
      <c r="F9" t="s">
        <v>918</v>
      </c>
      <c r="G9" t="s">
        <v>921</v>
      </c>
      <c r="H9">
        <v>5694.09</v>
      </c>
      <c r="I9">
        <v>1</v>
      </c>
      <c r="J9">
        <v>18</v>
      </c>
      <c r="K9" t="s">
        <v>923</v>
      </c>
      <c r="L9" t="str">
        <f>IF(ISBLANK(Table1[[#This Row],[CancelDate]]),"Active","Churned")</f>
        <v>Churned</v>
      </c>
      <c r="M9">
        <f ca="1">IF(ISBLANK(Table1[[#This Row],[CancelDate]]),DATEDIF(Table1[[#This Row],[JoinDate]],TODAY(),"M"),DATEDIF(Table1[[#This Row],[JoinDate]],Table1[[#This Row],[CancelDate]],"M"))</f>
        <v>11</v>
      </c>
      <c r="N9" t="str">
        <f>IF(Table1[[#This Row],[EngagementScore]]&lt;=40,"Low",IF(Table1[[#This Row],[EngagementScore]]&lt;=70,"Medium","High"))</f>
        <v>Low</v>
      </c>
      <c r="O9" t="str">
        <f>IF(Table1[[#This Row],[Age]]&lt;25,"18-24",
IF(Table1[[#This Row],[Age]]&lt;35,"25-34",
IF(Table1[[#This Row],[Age]]&lt;45,"35-44","45+")))</f>
        <v>45+</v>
      </c>
    </row>
    <row r="10" spans="1:15" x14ac:dyDescent="0.25">
      <c r="A10" t="s">
        <v>19</v>
      </c>
      <c r="B10" s="4">
        <v>44747</v>
      </c>
      <c r="D10">
        <v>50</v>
      </c>
      <c r="E10" t="s">
        <v>911</v>
      </c>
      <c r="F10" t="s">
        <v>919</v>
      </c>
      <c r="G10" t="s">
        <v>922</v>
      </c>
      <c r="H10">
        <v>29680.81</v>
      </c>
      <c r="I10">
        <v>16</v>
      </c>
      <c r="J10">
        <v>84</v>
      </c>
      <c r="K10" t="s">
        <v>923</v>
      </c>
      <c r="L10" t="str">
        <f>IF(ISBLANK(Table1[[#This Row],[CancelDate]]),"Active","Churned")</f>
        <v>Active</v>
      </c>
      <c r="M10">
        <f ca="1">IF(ISBLANK(Table1[[#This Row],[CancelDate]]),DATEDIF(Table1[[#This Row],[JoinDate]],TODAY(),"M"),DATEDIF(Table1[[#This Row],[JoinDate]],Table1[[#This Row],[CancelDate]],"M"))</f>
        <v>44</v>
      </c>
      <c r="N10" t="str">
        <f>IF(Table1[[#This Row],[EngagementScore]]&lt;=40,"Low",IF(Table1[[#This Row],[EngagementScore]]&lt;=70,"Medium","High"))</f>
        <v>High</v>
      </c>
      <c r="O10" t="str">
        <f>IF(Table1[[#This Row],[Age]]&lt;25,"18-24",
IF(Table1[[#This Row],[Age]]&lt;35,"25-34",
IF(Table1[[#This Row],[Age]]&lt;45,"35-44","45+")))</f>
        <v>45+</v>
      </c>
    </row>
    <row r="11" spans="1:15" x14ac:dyDescent="0.25">
      <c r="A11" t="s">
        <v>20</v>
      </c>
      <c r="B11" s="4">
        <v>44960</v>
      </c>
      <c r="C11" s="1">
        <v>45297</v>
      </c>
      <c r="D11">
        <v>42</v>
      </c>
      <c r="E11" t="s">
        <v>911</v>
      </c>
      <c r="F11" t="s">
        <v>917</v>
      </c>
      <c r="G11" t="s">
        <v>920</v>
      </c>
      <c r="H11">
        <v>3240.15</v>
      </c>
      <c r="I11">
        <v>6</v>
      </c>
      <c r="J11">
        <v>25</v>
      </c>
      <c r="K11" t="s">
        <v>925</v>
      </c>
      <c r="L11" t="str">
        <f>IF(ISBLANK(Table1[[#This Row],[CancelDate]]),"Active","Churned")</f>
        <v>Churned</v>
      </c>
      <c r="M11">
        <f ca="1">IF(ISBLANK(Table1[[#This Row],[CancelDate]]),DATEDIF(Table1[[#This Row],[JoinDate]],TODAY(),"M"),DATEDIF(Table1[[#This Row],[JoinDate]],Table1[[#This Row],[CancelDate]],"M"))</f>
        <v>11</v>
      </c>
      <c r="N11" t="str">
        <f>IF(Table1[[#This Row],[EngagementScore]]&lt;=40,"Low",IF(Table1[[#This Row],[EngagementScore]]&lt;=70,"Medium","High"))</f>
        <v>Low</v>
      </c>
      <c r="O11" t="str">
        <f>IF(Table1[[#This Row],[Age]]&lt;25,"18-24",
IF(Table1[[#This Row],[Age]]&lt;35,"25-34",
IF(Table1[[#This Row],[Age]]&lt;45,"35-44","45+")))</f>
        <v>35-44</v>
      </c>
    </row>
    <row r="12" spans="1:15" x14ac:dyDescent="0.25">
      <c r="A12" t="s">
        <v>21</v>
      </c>
      <c r="B12" s="4">
        <v>45097</v>
      </c>
      <c r="D12">
        <v>28</v>
      </c>
      <c r="E12" t="s">
        <v>911</v>
      </c>
      <c r="F12" t="s">
        <v>917</v>
      </c>
      <c r="G12" t="s">
        <v>922</v>
      </c>
      <c r="H12">
        <v>3558.11</v>
      </c>
      <c r="I12">
        <v>7</v>
      </c>
      <c r="J12">
        <v>39</v>
      </c>
      <c r="K12" t="s">
        <v>924</v>
      </c>
      <c r="L12" t="str">
        <f>IF(ISBLANK(Table1[[#This Row],[CancelDate]]),"Active","Churned")</f>
        <v>Active</v>
      </c>
      <c r="M12">
        <f ca="1">IF(ISBLANK(Table1[[#This Row],[CancelDate]]),DATEDIF(Table1[[#This Row],[JoinDate]],TODAY(),"M"),DATEDIF(Table1[[#This Row],[JoinDate]],Table1[[#This Row],[CancelDate]],"M"))</f>
        <v>33</v>
      </c>
      <c r="N12" t="str">
        <f>IF(Table1[[#This Row],[EngagementScore]]&lt;=40,"Low",IF(Table1[[#This Row],[EngagementScore]]&lt;=70,"Medium","High"))</f>
        <v>Low</v>
      </c>
      <c r="O12" t="str">
        <f>IF(Table1[[#This Row],[Age]]&lt;25,"18-24",
IF(Table1[[#This Row],[Age]]&lt;35,"25-34",
IF(Table1[[#This Row],[Age]]&lt;45,"35-44","45+")))</f>
        <v>25-34</v>
      </c>
    </row>
    <row r="13" spans="1:15" x14ac:dyDescent="0.25">
      <c r="A13" t="s">
        <v>22</v>
      </c>
      <c r="B13" s="4">
        <v>45146</v>
      </c>
      <c r="C13" s="1">
        <v>45408</v>
      </c>
      <c r="D13">
        <v>34</v>
      </c>
      <c r="E13" t="s">
        <v>911</v>
      </c>
      <c r="F13" t="s">
        <v>919</v>
      </c>
      <c r="G13" t="s">
        <v>922</v>
      </c>
      <c r="H13">
        <v>4601.12</v>
      </c>
      <c r="I13">
        <v>5</v>
      </c>
      <c r="J13">
        <v>34</v>
      </c>
      <c r="K13" t="s">
        <v>924</v>
      </c>
      <c r="L13" t="str">
        <f>IF(ISBLANK(Table1[[#This Row],[CancelDate]]),"Active","Churned")</f>
        <v>Churned</v>
      </c>
      <c r="M13">
        <f ca="1">IF(ISBLANK(Table1[[#This Row],[CancelDate]]),DATEDIF(Table1[[#This Row],[JoinDate]],TODAY(),"M"),DATEDIF(Table1[[#This Row],[JoinDate]],Table1[[#This Row],[CancelDate]],"M"))</f>
        <v>8</v>
      </c>
      <c r="N13" t="str">
        <f>IF(Table1[[#This Row],[EngagementScore]]&lt;=40,"Low",IF(Table1[[#This Row],[EngagementScore]]&lt;=70,"Medium","High"))</f>
        <v>Low</v>
      </c>
      <c r="O13" t="str">
        <f>IF(Table1[[#This Row],[Age]]&lt;25,"18-24",
IF(Table1[[#This Row],[Age]]&lt;35,"25-34",
IF(Table1[[#This Row],[Age]]&lt;45,"35-44","45+")))</f>
        <v>25-34</v>
      </c>
    </row>
    <row r="14" spans="1:15" x14ac:dyDescent="0.25">
      <c r="A14" t="s">
        <v>23</v>
      </c>
      <c r="B14" s="4">
        <v>44907</v>
      </c>
      <c r="C14" s="1">
        <v>45167</v>
      </c>
      <c r="D14">
        <v>59</v>
      </c>
      <c r="E14" t="s">
        <v>911</v>
      </c>
      <c r="F14" t="s">
        <v>917</v>
      </c>
      <c r="G14" t="s">
        <v>921</v>
      </c>
      <c r="H14">
        <v>12206.56</v>
      </c>
      <c r="I14">
        <v>16</v>
      </c>
      <c r="J14">
        <v>77</v>
      </c>
      <c r="K14" t="s">
        <v>925</v>
      </c>
      <c r="L14" t="str">
        <f>IF(ISBLANK(Table1[[#This Row],[CancelDate]]),"Active","Churned")</f>
        <v>Churned</v>
      </c>
      <c r="M14">
        <f ca="1">IF(ISBLANK(Table1[[#This Row],[CancelDate]]),DATEDIF(Table1[[#This Row],[JoinDate]],TODAY(),"M"),DATEDIF(Table1[[#This Row],[JoinDate]],Table1[[#This Row],[CancelDate]],"M"))</f>
        <v>8</v>
      </c>
      <c r="N14" t="str">
        <f>IF(Table1[[#This Row],[EngagementScore]]&lt;=40,"Low",IF(Table1[[#This Row],[EngagementScore]]&lt;=70,"Medium","High"))</f>
        <v>High</v>
      </c>
      <c r="O14" t="str">
        <f>IF(Table1[[#This Row],[Age]]&lt;25,"18-24",
IF(Table1[[#This Row],[Age]]&lt;35,"25-34",
IF(Table1[[#This Row],[Age]]&lt;45,"35-44","45+")))</f>
        <v>45+</v>
      </c>
    </row>
    <row r="15" spans="1:15" x14ac:dyDescent="0.25">
      <c r="A15" t="s">
        <v>24</v>
      </c>
      <c r="B15" s="4">
        <v>44928</v>
      </c>
      <c r="C15" s="1">
        <v>45133</v>
      </c>
      <c r="D15">
        <v>50</v>
      </c>
      <c r="E15" t="s">
        <v>912</v>
      </c>
      <c r="F15" t="s">
        <v>917</v>
      </c>
      <c r="G15" t="s">
        <v>920</v>
      </c>
      <c r="H15">
        <v>5571.75</v>
      </c>
      <c r="I15">
        <v>6</v>
      </c>
      <c r="J15">
        <v>39</v>
      </c>
      <c r="K15" t="s">
        <v>923</v>
      </c>
      <c r="L15" t="str">
        <f>IF(ISBLANK(Table1[[#This Row],[CancelDate]]),"Active","Churned")</f>
        <v>Churned</v>
      </c>
      <c r="M15">
        <f ca="1">IF(ISBLANK(Table1[[#This Row],[CancelDate]]),DATEDIF(Table1[[#This Row],[JoinDate]],TODAY(),"M"),DATEDIF(Table1[[#This Row],[JoinDate]],Table1[[#This Row],[CancelDate]],"M"))</f>
        <v>6</v>
      </c>
      <c r="N15" t="str">
        <f>IF(Table1[[#This Row],[EngagementScore]]&lt;=40,"Low",IF(Table1[[#This Row],[EngagementScore]]&lt;=70,"Medium","High"))</f>
        <v>Low</v>
      </c>
      <c r="O15" t="str">
        <f>IF(Table1[[#This Row],[Age]]&lt;25,"18-24",
IF(Table1[[#This Row],[Age]]&lt;35,"25-34",
IF(Table1[[#This Row],[Age]]&lt;45,"35-44","45+")))</f>
        <v>45+</v>
      </c>
    </row>
    <row r="16" spans="1:15" x14ac:dyDescent="0.25">
      <c r="A16" t="s">
        <v>25</v>
      </c>
      <c r="B16" s="4">
        <v>45116</v>
      </c>
      <c r="D16">
        <v>37</v>
      </c>
      <c r="E16" t="s">
        <v>911</v>
      </c>
      <c r="F16" t="s">
        <v>915</v>
      </c>
      <c r="G16" t="s">
        <v>921</v>
      </c>
      <c r="H16">
        <v>11448.21</v>
      </c>
      <c r="I16">
        <v>7</v>
      </c>
      <c r="J16">
        <v>54</v>
      </c>
      <c r="K16" t="s">
        <v>925</v>
      </c>
      <c r="L16" t="str">
        <f>IF(ISBLANK(Table1[[#This Row],[CancelDate]]),"Active","Churned")</f>
        <v>Active</v>
      </c>
      <c r="M16">
        <f ca="1">IF(ISBLANK(Table1[[#This Row],[CancelDate]]),DATEDIF(Table1[[#This Row],[JoinDate]],TODAY(),"M"),DATEDIF(Table1[[#This Row],[JoinDate]],Table1[[#This Row],[CancelDate]],"M"))</f>
        <v>32</v>
      </c>
      <c r="N16" t="str">
        <f>IF(Table1[[#This Row],[EngagementScore]]&lt;=40,"Low",IF(Table1[[#This Row],[EngagementScore]]&lt;=70,"Medium","High"))</f>
        <v>Medium</v>
      </c>
      <c r="O16" t="str">
        <f>IF(Table1[[#This Row],[Age]]&lt;25,"18-24",
IF(Table1[[#This Row],[Age]]&lt;35,"25-34",
IF(Table1[[#This Row],[Age]]&lt;45,"35-44","45+")))</f>
        <v>35-44</v>
      </c>
    </row>
    <row r="17" spans="1:15" x14ac:dyDescent="0.25">
      <c r="A17" t="s">
        <v>26</v>
      </c>
      <c r="B17" s="4">
        <v>45292</v>
      </c>
      <c r="D17">
        <v>36</v>
      </c>
      <c r="E17" t="s">
        <v>911</v>
      </c>
      <c r="F17" t="s">
        <v>915</v>
      </c>
      <c r="G17" t="s">
        <v>922</v>
      </c>
      <c r="H17">
        <v>26858.41</v>
      </c>
      <c r="I17">
        <v>18</v>
      </c>
      <c r="J17">
        <v>98</v>
      </c>
      <c r="K17" t="s">
        <v>925</v>
      </c>
      <c r="L17" t="str">
        <f>IF(ISBLANK(Table1[[#This Row],[CancelDate]]),"Active","Churned")</f>
        <v>Active</v>
      </c>
      <c r="M17">
        <f ca="1">IF(ISBLANK(Table1[[#This Row],[CancelDate]]),DATEDIF(Table1[[#This Row],[JoinDate]],TODAY(),"M"),DATEDIF(Table1[[#This Row],[JoinDate]],Table1[[#This Row],[CancelDate]],"M"))</f>
        <v>27</v>
      </c>
      <c r="N17" t="str">
        <f>IF(Table1[[#This Row],[EngagementScore]]&lt;=40,"Low",IF(Table1[[#This Row],[EngagementScore]]&lt;=70,"Medium","High"))</f>
        <v>High</v>
      </c>
      <c r="O17" t="str">
        <f>IF(Table1[[#This Row],[Age]]&lt;25,"18-24",
IF(Table1[[#This Row],[Age]]&lt;35,"25-34",
IF(Table1[[#This Row],[Age]]&lt;45,"35-44","45+")))</f>
        <v>35-44</v>
      </c>
    </row>
    <row r="18" spans="1:15" x14ac:dyDescent="0.25">
      <c r="A18" t="s">
        <v>27</v>
      </c>
      <c r="B18" s="4">
        <v>44729</v>
      </c>
      <c r="D18">
        <v>36</v>
      </c>
      <c r="E18" t="s">
        <v>911</v>
      </c>
      <c r="F18" t="s">
        <v>918</v>
      </c>
      <c r="G18" t="s">
        <v>922</v>
      </c>
      <c r="H18">
        <v>26389.29</v>
      </c>
      <c r="I18">
        <v>13</v>
      </c>
      <c r="J18">
        <v>81</v>
      </c>
      <c r="K18" t="s">
        <v>923</v>
      </c>
      <c r="L18" t="str">
        <f>IF(ISBLANK(Table1[[#This Row],[CancelDate]]),"Active","Churned")</f>
        <v>Active</v>
      </c>
      <c r="M18">
        <f ca="1">IF(ISBLANK(Table1[[#This Row],[CancelDate]]),DATEDIF(Table1[[#This Row],[JoinDate]],TODAY(),"M"),DATEDIF(Table1[[#This Row],[JoinDate]],Table1[[#This Row],[CancelDate]],"M"))</f>
        <v>45</v>
      </c>
      <c r="N18" t="str">
        <f>IF(Table1[[#This Row],[EngagementScore]]&lt;=40,"Low",IF(Table1[[#This Row],[EngagementScore]]&lt;=70,"Medium","High"))</f>
        <v>High</v>
      </c>
      <c r="O18" t="str">
        <f>IF(Table1[[#This Row],[Age]]&lt;25,"18-24",
IF(Table1[[#This Row],[Age]]&lt;35,"25-34",
IF(Table1[[#This Row],[Age]]&lt;45,"35-44","45+")))</f>
        <v>35-44</v>
      </c>
    </row>
    <row r="19" spans="1:15" x14ac:dyDescent="0.25">
      <c r="A19" t="s">
        <v>28</v>
      </c>
      <c r="B19" s="4">
        <v>44630</v>
      </c>
      <c r="D19">
        <v>18</v>
      </c>
      <c r="E19" t="s">
        <v>912</v>
      </c>
      <c r="F19" t="s">
        <v>916</v>
      </c>
      <c r="G19" t="s">
        <v>921</v>
      </c>
      <c r="H19">
        <v>4438.7</v>
      </c>
      <c r="I19">
        <v>7</v>
      </c>
      <c r="J19">
        <v>33</v>
      </c>
      <c r="K19" t="s">
        <v>925</v>
      </c>
      <c r="L19" t="str">
        <f>IF(ISBLANK(Table1[[#This Row],[CancelDate]]),"Active","Churned")</f>
        <v>Active</v>
      </c>
      <c r="M19">
        <f ca="1">IF(ISBLANK(Table1[[#This Row],[CancelDate]]),DATEDIF(Table1[[#This Row],[JoinDate]],TODAY(),"M"),DATEDIF(Table1[[#This Row],[JoinDate]],Table1[[#This Row],[CancelDate]],"M"))</f>
        <v>48</v>
      </c>
      <c r="N19" t="str">
        <f>IF(Table1[[#This Row],[EngagementScore]]&lt;=40,"Low",IF(Table1[[#This Row],[EngagementScore]]&lt;=70,"Medium","High"))</f>
        <v>Low</v>
      </c>
      <c r="O19" t="str">
        <f>IF(Table1[[#This Row],[Age]]&lt;25,"18-24",
IF(Table1[[#This Row],[Age]]&lt;35,"25-34",
IF(Table1[[#This Row],[Age]]&lt;45,"35-44","45+")))</f>
        <v>18-24</v>
      </c>
    </row>
    <row r="20" spans="1:15" x14ac:dyDescent="0.25">
      <c r="A20" t="s">
        <v>29</v>
      </c>
      <c r="B20" s="4">
        <v>44994</v>
      </c>
      <c r="C20" s="1">
        <v>45287</v>
      </c>
      <c r="D20">
        <v>30</v>
      </c>
      <c r="E20" t="s">
        <v>911</v>
      </c>
      <c r="F20" t="s">
        <v>918</v>
      </c>
      <c r="G20" t="s">
        <v>921</v>
      </c>
      <c r="H20">
        <v>3225.95</v>
      </c>
      <c r="I20">
        <v>7</v>
      </c>
      <c r="J20">
        <v>32</v>
      </c>
      <c r="K20" t="s">
        <v>913</v>
      </c>
      <c r="L20" t="str">
        <f>IF(ISBLANK(Table1[[#This Row],[CancelDate]]),"Active","Churned")</f>
        <v>Churned</v>
      </c>
      <c r="M20">
        <f ca="1">IF(ISBLANK(Table1[[#This Row],[CancelDate]]),DATEDIF(Table1[[#This Row],[JoinDate]],TODAY(),"M"),DATEDIF(Table1[[#This Row],[JoinDate]],Table1[[#This Row],[CancelDate]],"M"))</f>
        <v>9</v>
      </c>
      <c r="N20" t="str">
        <f>IF(Table1[[#This Row],[EngagementScore]]&lt;=40,"Low",IF(Table1[[#This Row],[EngagementScore]]&lt;=70,"Medium","High"))</f>
        <v>Low</v>
      </c>
      <c r="O20" t="str">
        <f>IF(Table1[[#This Row],[Age]]&lt;25,"18-24",
IF(Table1[[#This Row],[Age]]&lt;35,"25-34",
IF(Table1[[#This Row],[Age]]&lt;45,"35-44","45+")))</f>
        <v>25-34</v>
      </c>
    </row>
    <row r="21" spans="1:15" x14ac:dyDescent="0.25">
      <c r="A21" t="s">
        <v>30</v>
      </c>
      <c r="B21" s="4">
        <v>45457</v>
      </c>
      <c r="D21">
        <v>39</v>
      </c>
      <c r="E21" t="s">
        <v>911</v>
      </c>
      <c r="F21" t="s">
        <v>917</v>
      </c>
      <c r="G21" t="s">
        <v>921</v>
      </c>
      <c r="H21">
        <v>24727.37</v>
      </c>
      <c r="I21">
        <v>20</v>
      </c>
      <c r="J21">
        <v>84</v>
      </c>
      <c r="K21" t="s">
        <v>925</v>
      </c>
      <c r="L21" t="str">
        <f>IF(ISBLANK(Table1[[#This Row],[CancelDate]]),"Active","Churned")</f>
        <v>Active</v>
      </c>
      <c r="M21">
        <f ca="1">IF(ISBLANK(Table1[[#This Row],[CancelDate]]),DATEDIF(Table1[[#This Row],[JoinDate]],TODAY(),"M"),DATEDIF(Table1[[#This Row],[JoinDate]],Table1[[#This Row],[CancelDate]],"M"))</f>
        <v>21</v>
      </c>
      <c r="N21" t="str">
        <f>IF(Table1[[#This Row],[EngagementScore]]&lt;=40,"Low",IF(Table1[[#This Row],[EngagementScore]]&lt;=70,"Medium","High"))</f>
        <v>High</v>
      </c>
      <c r="O21" t="str">
        <f>IF(Table1[[#This Row],[Age]]&lt;25,"18-24",
IF(Table1[[#This Row],[Age]]&lt;35,"25-34",
IF(Table1[[#This Row],[Age]]&lt;45,"35-44","45+")))</f>
        <v>35-44</v>
      </c>
    </row>
    <row r="22" spans="1:15" x14ac:dyDescent="0.25">
      <c r="A22" t="s">
        <v>31</v>
      </c>
      <c r="B22" s="4">
        <v>44953</v>
      </c>
      <c r="D22">
        <v>34</v>
      </c>
      <c r="E22" t="s">
        <v>912</v>
      </c>
      <c r="F22" t="s">
        <v>914</v>
      </c>
      <c r="G22" t="s">
        <v>921</v>
      </c>
      <c r="H22">
        <v>12364.39</v>
      </c>
      <c r="I22">
        <v>14</v>
      </c>
      <c r="J22">
        <v>47</v>
      </c>
      <c r="K22" t="s">
        <v>923</v>
      </c>
      <c r="L22" t="str">
        <f>IF(ISBLANK(Table1[[#This Row],[CancelDate]]),"Active","Churned")</f>
        <v>Active</v>
      </c>
      <c r="M22">
        <f ca="1">IF(ISBLANK(Table1[[#This Row],[CancelDate]]),DATEDIF(Table1[[#This Row],[JoinDate]],TODAY(),"M"),DATEDIF(Table1[[#This Row],[JoinDate]],Table1[[#This Row],[CancelDate]],"M"))</f>
        <v>38</v>
      </c>
      <c r="N22" t="str">
        <f>IF(Table1[[#This Row],[EngagementScore]]&lt;=40,"Low",IF(Table1[[#This Row],[EngagementScore]]&lt;=70,"Medium","High"))</f>
        <v>Medium</v>
      </c>
      <c r="O22" t="str">
        <f>IF(Table1[[#This Row],[Age]]&lt;25,"18-24",
IF(Table1[[#This Row],[Age]]&lt;35,"25-34",
IF(Table1[[#This Row],[Age]]&lt;45,"35-44","45+")))</f>
        <v>25-34</v>
      </c>
    </row>
    <row r="23" spans="1:15" x14ac:dyDescent="0.25">
      <c r="A23" t="s">
        <v>32</v>
      </c>
      <c r="B23" s="4">
        <v>45074</v>
      </c>
      <c r="D23">
        <v>45</v>
      </c>
      <c r="E23" t="s">
        <v>911</v>
      </c>
      <c r="F23" t="s">
        <v>915</v>
      </c>
      <c r="G23" t="s">
        <v>921</v>
      </c>
      <c r="H23">
        <v>16302.56</v>
      </c>
      <c r="I23">
        <v>23</v>
      </c>
      <c r="J23">
        <v>76</v>
      </c>
      <c r="K23" t="s">
        <v>925</v>
      </c>
      <c r="L23" t="str">
        <f>IF(ISBLANK(Table1[[#This Row],[CancelDate]]),"Active","Churned")</f>
        <v>Active</v>
      </c>
      <c r="M23">
        <f ca="1">IF(ISBLANK(Table1[[#This Row],[CancelDate]]),DATEDIF(Table1[[#This Row],[JoinDate]],TODAY(),"M"),DATEDIF(Table1[[#This Row],[JoinDate]],Table1[[#This Row],[CancelDate]],"M"))</f>
        <v>34</v>
      </c>
      <c r="N23" t="str">
        <f>IF(Table1[[#This Row],[EngagementScore]]&lt;=40,"Low",IF(Table1[[#This Row],[EngagementScore]]&lt;=70,"Medium","High"))</f>
        <v>High</v>
      </c>
      <c r="O23" t="str">
        <f>IF(Table1[[#This Row],[Age]]&lt;25,"18-24",
IF(Table1[[#This Row],[Age]]&lt;35,"25-34",
IF(Table1[[#This Row],[Age]]&lt;45,"35-44","45+")))</f>
        <v>45+</v>
      </c>
    </row>
    <row r="24" spans="1:15" x14ac:dyDescent="0.25">
      <c r="A24" t="s">
        <v>33</v>
      </c>
      <c r="B24" s="4">
        <v>44637</v>
      </c>
      <c r="C24" s="1">
        <v>44672</v>
      </c>
      <c r="D24">
        <v>36</v>
      </c>
      <c r="E24" t="s">
        <v>912</v>
      </c>
      <c r="F24" t="s">
        <v>918</v>
      </c>
      <c r="G24" t="s">
        <v>921</v>
      </c>
      <c r="H24">
        <v>7852.15</v>
      </c>
      <c r="I24">
        <v>2</v>
      </c>
      <c r="J24">
        <v>12</v>
      </c>
      <c r="K24" t="s">
        <v>925</v>
      </c>
      <c r="L24" t="str">
        <f>IF(ISBLANK(Table1[[#This Row],[CancelDate]]),"Active","Churned")</f>
        <v>Churned</v>
      </c>
      <c r="M24">
        <f ca="1">IF(ISBLANK(Table1[[#This Row],[CancelDate]]),DATEDIF(Table1[[#This Row],[JoinDate]],TODAY(),"M"),DATEDIF(Table1[[#This Row],[JoinDate]],Table1[[#This Row],[CancelDate]],"M"))</f>
        <v>1</v>
      </c>
      <c r="N24" t="str">
        <f>IF(Table1[[#This Row],[EngagementScore]]&lt;=40,"Low",IF(Table1[[#This Row],[EngagementScore]]&lt;=70,"Medium","High"))</f>
        <v>Low</v>
      </c>
      <c r="O24" t="str">
        <f>IF(Table1[[#This Row],[Age]]&lt;25,"18-24",
IF(Table1[[#This Row],[Age]]&lt;35,"25-34",
IF(Table1[[#This Row],[Age]]&lt;45,"35-44","45+")))</f>
        <v>35-44</v>
      </c>
    </row>
    <row r="25" spans="1:15" x14ac:dyDescent="0.25">
      <c r="A25" t="s">
        <v>34</v>
      </c>
      <c r="B25" s="4">
        <v>45385</v>
      </c>
      <c r="C25" s="1">
        <v>45642</v>
      </c>
      <c r="D25">
        <v>33</v>
      </c>
      <c r="E25" t="s">
        <v>912</v>
      </c>
      <c r="F25" t="s">
        <v>919</v>
      </c>
      <c r="G25" t="s">
        <v>921</v>
      </c>
      <c r="H25">
        <v>2636.28</v>
      </c>
      <c r="I25">
        <v>7</v>
      </c>
      <c r="J25">
        <v>35</v>
      </c>
      <c r="K25" t="s">
        <v>924</v>
      </c>
      <c r="L25" t="str">
        <f>IF(ISBLANK(Table1[[#This Row],[CancelDate]]),"Active","Churned")</f>
        <v>Churned</v>
      </c>
      <c r="M25">
        <f ca="1">IF(ISBLANK(Table1[[#This Row],[CancelDate]]),DATEDIF(Table1[[#This Row],[JoinDate]],TODAY(),"M"),DATEDIF(Table1[[#This Row],[JoinDate]],Table1[[#This Row],[CancelDate]],"M"))</f>
        <v>8</v>
      </c>
      <c r="N25" t="str">
        <f>IF(Table1[[#This Row],[EngagementScore]]&lt;=40,"Low",IF(Table1[[#This Row],[EngagementScore]]&lt;=70,"Medium","High"))</f>
        <v>Low</v>
      </c>
      <c r="O25" t="str">
        <f>IF(Table1[[#This Row],[Age]]&lt;25,"18-24",
IF(Table1[[#This Row],[Age]]&lt;35,"25-34",
IF(Table1[[#This Row],[Age]]&lt;45,"35-44","45+")))</f>
        <v>25-34</v>
      </c>
    </row>
    <row r="26" spans="1:15" x14ac:dyDescent="0.25">
      <c r="A26" t="s">
        <v>35</v>
      </c>
      <c r="B26" s="4">
        <v>44812</v>
      </c>
      <c r="D26">
        <v>46</v>
      </c>
      <c r="E26" t="s">
        <v>911</v>
      </c>
      <c r="F26" t="s">
        <v>915</v>
      </c>
      <c r="G26" t="s">
        <v>921</v>
      </c>
      <c r="H26">
        <v>21305.79</v>
      </c>
      <c r="I26">
        <v>21</v>
      </c>
      <c r="J26">
        <v>75</v>
      </c>
      <c r="K26" t="s">
        <v>925</v>
      </c>
      <c r="L26" t="str">
        <f>IF(ISBLANK(Table1[[#This Row],[CancelDate]]),"Active","Churned")</f>
        <v>Active</v>
      </c>
      <c r="M26">
        <f ca="1">IF(ISBLANK(Table1[[#This Row],[CancelDate]]),DATEDIF(Table1[[#This Row],[JoinDate]],TODAY(),"M"),DATEDIF(Table1[[#This Row],[JoinDate]],Table1[[#This Row],[CancelDate]],"M"))</f>
        <v>42</v>
      </c>
      <c r="N26" t="str">
        <f>IF(Table1[[#This Row],[EngagementScore]]&lt;=40,"Low",IF(Table1[[#This Row],[EngagementScore]]&lt;=70,"Medium","High"))</f>
        <v>High</v>
      </c>
      <c r="O26" t="str">
        <f>IF(Table1[[#This Row],[Age]]&lt;25,"18-24",
IF(Table1[[#This Row],[Age]]&lt;35,"25-34",
IF(Table1[[#This Row],[Age]]&lt;45,"35-44","45+")))</f>
        <v>45+</v>
      </c>
    </row>
    <row r="27" spans="1:15" x14ac:dyDescent="0.25">
      <c r="A27" t="s">
        <v>36</v>
      </c>
      <c r="B27" s="4">
        <v>44568</v>
      </c>
      <c r="D27">
        <v>37</v>
      </c>
      <c r="E27" t="s">
        <v>911</v>
      </c>
      <c r="F27" t="s">
        <v>917</v>
      </c>
      <c r="G27" t="s">
        <v>920</v>
      </c>
      <c r="H27">
        <v>8887.2099999999991</v>
      </c>
      <c r="I27">
        <v>11</v>
      </c>
      <c r="J27">
        <v>67</v>
      </c>
      <c r="K27" t="s">
        <v>924</v>
      </c>
      <c r="L27" t="str">
        <f>IF(ISBLANK(Table1[[#This Row],[CancelDate]]),"Active","Churned")</f>
        <v>Active</v>
      </c>
      <c r="M27">
        <f ca="1">IF(ISBLANK(Table1[[#This Row],[CancelDate]]),DATEDIF(Table1[[#This Row],[JoinDate]],TODAY(),"M"),DATEDIF(Table1[[#This Row],[JoinDate]],Table1[[#This Row],[CancelDate]],"M"))</f>
        <v>50</v>
      </c>
      <c r="N27" t="str">
        <f>IF(Table1[[#This Row],[EngagementScore]]&lt;=40,"Low",IF(Table1[[#This Row],[EngagementScore]]&lt;=70,"Medium","High"))</f>
        <v>Medium</v>
      </c>
      <c r="O27" t="str">
        <f>IF(Table1[[#This Row],[Age]]&lt;25,"18-24",
IF(Table1[[#This Row],[Age]]&lt;35,"25-34",
IF(Table1[[#This Row],[Age]]&lt;45,"35-44","45+")))</f>
        <v>35-44</v>
      </c>
    </row>
    <row r="28" spans="1:15" x14ac:dyDescent="0.25">
      <c r="A28" t="s">
        <v>37</v>
      </c>
      <c r="B28" s="4">
        <v>45349</v>
      </c>
      <c r="C28" s="1">
        <v>45490</v>
      </c>
      <c r="D28">
        <v>28</v>
      </c>
      <c r="E28" t="s">
        <v>912</v>
      </c>
      <c r="F28" t="s">
        <v>919</v>
      </c>
      <c r="G28" t="s">
        <v>921</v>
      </c>
      <c r="H28">
        <v>4464.87</v>
      </c>
      <c r="I28">
        <v>2</v>
      </c>
      <c r="J28">
        <v>15</v>
      </c>
      <c r="K28" t="s">
        <v>924</v>
      </c>
      <c r="L28" t="str">
        <f>IF(ISBLANK(Table1[[#This Row],[CancelDate]]),"Active","Churned")</f>
        <v>Churned</v>
      </c>
      <c r="M28">
        <f ca="1">IF(ISBLANK(Table1[[#This Row],[CancelDate]]),DATEDIF(Table1[[#This Row],[JoinDate]],TODAY(),"M"),DATEDIF(Table1[[#This Row],[JoinDate]],Table1[[#This Row],[CancelDate]],"M"))</f>
        <v>4</v>
      </c>
      <c r="N28" t="str">
        <f>IF(Table1[[#This Row],[EngagementScore]]&lt;=40,"Low",IF(Table1[[#This Row],[EngagementScore]]&lt;=70,"Medium","High"))</f>
        <v>Low</v>
      </c>
      <c r="O28" t="str">
        <f>IF(Table1[[#This Row],[Age]]&lt;25,"18-24",
IF(Table1[[#This Row],[Age]]&lt;35,"25-34",
IF(Table1[[#This Row],[Age]]&lt;45,"35-44","45+")))</f>
        <v>25-34</v>
      </c>
    </row>
    <row r="29" spans="1:15" x14ac:dyDescent="0.25">
      <c r="A29" t="s">
        <v>38</v>
      </c>
      <c r="B29" s="4">
        <v>45006</v>
      </c>
      <c r="C29" s="1">
        <v>45190</v>
      </c>
      <c r="D29">
        <v>43</v>
      </c>
      <c r="E29" t="s">
        <v>912</v>
      </c>
      <c r="F29" t="s">
        <v>915</v>
      </c>
      <c r="G29" t="s">
        <v>922</v>
      </c>
      <c r="H29">
        <v>6646.21</v>
      </c>
      <c r="I29">
        <v>6</v>
      </c>
      <c r="J29">
        <v>48</v>
      </c>
      <c r="K29" t="s">
        <v>925</v>
      </c>
      <c r="L29" t="str">
        <f>IF(ISBLANK(Table1[[#This Row],[CancelDate]]),"Active","Churned")</f>
        <v>Churned</v>
      </c>
      <c r="M29">
        <f ca="1">IF(ISBLANK(Table1[[#This Row],[CancelDate]]),DATEDIF(Table1[[#This Row],[JoinDate]],TODAY(),"M"),DATEDIF(Table1[[#This Row],[JoinDate]],Table1[[#This Row],[CancelDate]],"M"))</f>
        <v>6</v>
      </c>
      <c r="N29" t="str">
        <f>IF(Table1[[#This Row],[EngagementScore]]&lt;=40,"Low",IF(Table1[[#This Row],[EngagementScore]]&lt;=70,"Medium","High"))</f>
        <v>Medium</v>
      </c>
      <c r="O29" t="str">
        <f>IF(Table1[[#This Row],[Age]]&lt;25,"18-24",
IF(Table1[[#This Row],[Age]]&lt;35,"25-34",
IF(Table1[[#This Row],[Age]]&lt;45,"35-44","45+")))</f>
        <v>35-44</v>
      </c>
    </row>
    <row r="30" spans="1:15" x14ac:dyDescent="0.25">
      <c r="A30" t="s">
        <v>39</v>
      </c>
      <c r="B30" s="4">
        <v>44606</v>
      </c>
      <c r="C30" s="1">
        <v>44878</v>
      </c>
      <c r="D30">
        <v>18</v>
      </c>
      <c r="E30" t="s">
        <v>912</v>
      </c>
      <c r="F30" t="s">
        <v>918</v>
      </c>
      <c r="G30" t="s">
        <v>921</v>
      </c>
      <c r="H30">
        <v>25655.63</v>
      </c>
      <c r="I30">
        <v>20</v>
      </c>
      <c r="J30">
        <v>86</v>
      </c>
      <c r="K30" t="s">
        <v>925</v>
      </c>
      <c r="L30" t="str">
        <f>IF(ISBLANK(Table1[[#This Row],[CancelDate]]),"Active","Churned")</f>
        <v>Churned</v>
      </c>
      <c r="M30">
        <f ca="1">IF(ISBLANK(Table1[[#This Row],[CancelDate]]),DATEDIF(Table1[[#This Row],[JoinDate]],TODAY(),"M"),DATEDIF(Table1[[#This Row],[JoinDate]],Table1[[#This Row],[CancelDate]],"M"))</f>
        <v>8</v>
      </c>
      <c r="N30" t="str">
        <f>IF(Table1[[#This Row],[EngagementScore]]&lt;=40,"Low",IF(Table1[[#This Row],[EngagementScore]]&lt;=70,"Medium","High"))</f>
        <v>High</v>
      </c>
      <c r="O30" t="str">
        <f>IF(Table1[[#This Row],[Age]]&lt;25,"18-24",
IF(Table1[[#This Row],[Age]]&lt;35,"25-34",
IF(Table1[[#This Row],[Age]]&lt;45,"35-44","45+")))</f>
        <v>18-24</v>
      </c>
    </row>
    <row r="31" spans="1:15" x14ac:dyDescent="0.25">
      <c r="A31" t="s">
        <v>40</v>
      </c>
      <c r="B31" s="4">
        <v>45265</v>
      </c>
      <c r="C31" s="1">
        <v>45566</v>
      </c>
      <c r="D31">
        <v>42</v>
      </c>
      <c r="E31" t="s">
        <v>911</v>
      </c>
      <c r="F31" t="s">
        <v>917</v>
      </c>
      <c r="G31" t="s">
        <v>921</v>
      </c>
      <c r="H31">
        <v>6748.87</v>
      </c>
      <c r="I31">
        <v>3</v>
      </c>
      <c r="J31">
        <v>31</v>
      </c>
      <c r="K31" t="s">
        <v>924</v>
      </c>
      <c r="L31" t="str">
        <f>IF(ISBLANK(Table1[[#This Row],[CancelDate]]),"Active","Churned")</f>
        <v>Churned</v>
      </c>
      <c r="M31">
        <f ca="1">IF(ISBLANK(Table1[[#This Row],[CancelDate]]),DATEDIF(Table1[[#This Row],[JoinDate]],TODAY(),"M"),DATEDIF(Table1[[#This Row],[JoinDate]],Table1[[#This Row],[CancelDate]],"M"))</f>
        <v>9</v>
      </c>
      <c r="N31" t="str">
        <f>IF(Table1[[#This Row],[EngagementScore]]&lt;=40,"Low",IF(Table1[[#This Row],[EngagementScore]]&lt;=70,"Medium","High"))</f>
        <v>Low</v>
      </c>
      <c r="O31" t="str">
        <f>IF(Table1[[#This Row],[Age]]&lt;25,"18-24",
IF(Table1[[#This Row],[Age]]&lt;35,"25-34",
IF(Table1[[#This Row],[Age]]&lt;45,"35-44","45+")))</f>
        <v>35-44</v>
      </c>
    </row>
    <row r="32" spans="1:15" x14ac:dyDescent="0.25">
      <c r="A32" t="s">
        <v>41</v>
      </c>
      <c r="B32" s="4">
        <v>44887</v>
      </c>
      <c r="D32">
        <v>50</v>
      </c>
      <c r="E32" t="s">
        <v>911</v>
      </c>
      <c r="F32" t="s">
        <v>914</v>
      </c>
      <c r="G32" t="s">
        <v>920</v>
      </c>
      <c r="H32">
        <v>19452.310000000001</v>
      </c>
      <c r="I32">
        <v>29</v>
      </c>
      <c r="J32">
        <v>76</v>
      </c>
      <c r="K32" t="s">
        <v>924</v>
      </c>
      <c r="L32" t="str">
        <f>IF(ISBLANK(Table1[[#This Row],[CancelDate]]),"Active","Churned")</f>
        <v>Active</v>
      </c>
      <c r="M32">
        <f ca="1">IF(ISBLANK(Table1[[#This Row],[CancelDate]]),DATEDIF(Table1[[#This Row],[JoinDate]],TODAY(),"M"),DATEDIF(Table1[[#This Row],[JoinDate]],Table1[[#This Row],[CancelDate]],"M"))</f>
        <v>40</v>
      </c>
      <c r="N32" t="str">
        <f>IF(Table1[[#This Row],[EngagementScore]]&lt;=40,"Low",IF(Table1[[#This Row],[EngagementScore]]&lt;=70,"Medium","High"))</f>
        <v>High</v>
      </c>
      <c r="O32" t="str">
        <f>IF(Table1[[#This Row],[Age]]&lt;25,"18-24",
IF(Table1[[#This Row],[Age]]&lt;35,"25-34",
IF(Table1[[#This Row],[Age]]&lt;45,"35-44","45+")))</f>
        <v>45+</v>
      </c>
    </row>
    <row r="33" spans="1:15" x14ac:dyDescent="0.25">
      <c r="A33" t="s">
        <v>42</v>
      </c>
      <c r="B33" s="4">
        <v>45386</v>
      </c>
      <c r="D33">
        <v>57</v>
      </c>
      <c r="E33" t="s">
        <v>912</v>
      </c>
      <c r="F33" t="s">
        <v>919</v>
      </c>
      <c r="G33" t="s">
        <v>922</v>
      </c>
      <c r="H33">
        <v>14284.46</v>
      </c>
      <c r="I33">
        <v>5</v>
      </c>
      <c r="J33">
        <v>55</v>
      </c>
      <c r="K33" t="s">
        <v>925</v>
      </c>
      <c r="L33" t="str">
        <f>IF(ISBLANK(Table1[[#This Row],[CancelDate]]),"Active","Churned")</f>
        <v>Active</v>
      </c>
      <c r="M33">
        <f ca="1">IF(ISBLANK(Table1[[#This Row],[CancelDate]]),DATEDIF(Table1[[#This Row],[JoinDate]],TODAY(),"M"),DATEDIF(Table1[[#This Row],[JoinDate]],Table1[[#This Row],[CancelDate]],"M"))</f>
        <v>23</v>
      </c>
      <c r="N33" t="str">
        <f>IF(Table1[[#This Row],[EngagementScore]]&lt;=40,"Low",IF(Table1[[#This Row],[EngagementScore]]&lt;=70,"Medium","High"))</f>
        <v>Medium</v>
      </c>
      <c r="O33" t="str">
        <f>IF(Table1[[#This Row],[Age]]&lt;25,"18-24",
IF(Table1[[#This Row],[Age]]&lt;35,"25-34",
IF(Table1[[#This Row],[Age]]&lt;45,"35-44","45+")))</f>
        <v>45+</v>
      </c>
    </row>
    <row r="34" spans="1:15" x14ac:dyDescent="0.25">
      <c r="A34" t="s">
        <v>43</v>
      </c>
      <c r="B34" s="4">
        <v>44714</v>
      </c>
      <c r="D34">
        <v>32</v>
      </c>
      <c r="E34" t="s">
        <v>912</v>
      </c>
      <c r="F34" t="s">
        <v>918</v>
      </c>
      <c r="G34" t="s">
        <v>921</v>
      </c>
      <c r="H34">
        <v>5339.73</v>
      </c>
      <c r="I34">
        <v>4</v>
      </c>
      <c r="J34">
        <v>19</v>
      </c>
      <c r="K34" t="s">
        <v>925</v>
      </c>
      <c r="L34" t="str">
        <f>IF(ISBLANK(Table1[[#This Row],[CancelDate]]),"Active","Churned")</f>
        <v>Active</v>
      </c>
      <c r="M34">
        <f ca="1">IF(ISBLANK(Table1[[#This Row],[CancelDate]]),DATEDIF(Table1[[#This Row],[JoinDate]],TODAY(),"M"),DATEDIF(Table1[[#This Row],[JoinDate]],Table1[[#This Row],[CancelDate]],"M"))</f>
        <v>46</v>
      </c>
      <c r="N34" t="str">
        <f>IF(Table1[[#This Row],[EngagementScore]]&lt;=40,"Low",IF(Table1[[#This Row],[EngagementScore]]&lt;=70,"Medium","High"))</f>
        <v>Low</v>
      </c>
      <c r="O34" t="str">
        <f>IF(Table1[[#This Row],[Age]]&lt;25,"18-24",
IF(Table1[[#This Row],[Age]]&lt;35,"25-34",
IF(Table1[[#This Row],[Age]]&lt;45,"35-44","45+")))</f>
        <v>25-34</v>
      </c>
    </row>
    <row r="35" spans="1:15" x14ac:dyDescent="0.25">
      <c r="A35" t="s">
        <v>44</v>
      </c>
      <c r="B35" s="4">
        <v>44745</v>
      </c>
      <c r="C35" s="1">
        <v>44978</v>
      </c>
      <c r="D35">
        <v>55</v>
      </c>
      <c r="E35" t="s">
        <v>912</v>
      </c>
      <c r="F35" t="s">
        <v>917</v>
      </c>
      <c r="G35" t="s">
        <v>920</v>
      </c>
      <c r="H35">
        <v>29785.91</v>
      </c>
      <c r="I35">
        <v>23</v>
      </c>
      <c r="J35">
        <v>83</v>
      </c>
      <c r="K35" t="s">
        <v>924</v>
      </c>
      <c r="L35" t="str">
        <f>IF(ISBLANK(Table1[[#This Row],[CancelDate]]),"Active","Churned")</f>
        <v>Churned</v>
      </c>
      <c r="M35">
        <f ca="1">IF(ISBLANK(Table1[[#This Row],[CancelDate]]),DATEDIF(Table1[[#This Row],[JoinDate]],TODAY(),"M"),DATEDIF(Table1[[#This Row],[JoinDate]],Table1[[#This Row],[CancelDate]],"M"))</f>
        <v>7</v>
      </c>
      <c r="N35" t="str">
        <f>IF(Table1[[#This Row],[EngagementScore]]&lt;=40,"Low",IF(Table1[[#This Row],[EngagementScore]]&lt;=70,"Medium","High"))</f>
        <v>High</v>
      </c>
      <c r="O35" t="str">
        <f>IF(Table1[[#This Row],[Age]]&lt;25,"18-24",
IF(Table1[[#This Row],[Age]]&lt;35,"25-34",
IF(Table1[[#This Row],[Age]]&lt;45,"35-44","45+")))</f>
        <v>45+</v>
      </c>
    </row>
    <row r="36" spans="1:15" x14ac:dyDescent="0.25">
      <c r="A36" t="s">
        <v>45</v>
      </c>
      <c r="B36" s="4">
        <v>44674</v>
      </c>
      <c r="C36" s="1">
        <v>44930</v>
      </c>
      <c r="D36">
        <v>57</v>
      </c>
      <c r="E36" t="s">
        <v>912</v>
      </c>
      <c r="F36" t="s">
        <v>918</v>
      </c>
      <c r="G36" t="s">
        <v>921</v>
      </c>
      <c r="H36">
        <v>3069.18</v>
      </c>
      <c r="I36">
        <v>7</v>
      </c>
      <c r="J36">
        <v>30</v>
      </c>
      <c r="K36" t="s">
        <v>923</v>
      </c>
      <c r="L36" t="str">
        <f>IF(ISBLANK(Table1[[#This Row],[CancelDate]]),"Active","Churned")</f>
        <v>Churned</v>
      </c>
      <c r="M36">
        <f ca="1">IF(ISBLANK(Table1[[#This Row],[CancelDate]]),DATEDIF(Table1[[#This Row],[JoinDate]],TODAY(),"M"),DATEDIF(Table1[[#This Row],[JoinDate]],Table1[[#This Row],[CancelDate]],"M"))</f>
        <v>8</v>
      </c>
      <c r="N36" t="str">
        <f>IF(Table1[[#This Row],[EngagementScore]]&lt;=40,"Low",IF(Table1[[#This Row],[EngagementScore]]&lt;=70,"Medium","High"))</f>
        <v>Low</v>
      </c>
      <c r="O36" t="str">
        <f>IF(Table1[[#This Row],[Age]]&lt;25,"18-24",
IF(Table1[[#This Row],[Age]]&lt;35,"25-34",
IF(Table1[[#This Row],[Age]]&lt;45,"35-44","45+")))</f>
        <v>45+</v>
      </c>
    </row>
    <row r="37" spans="1:15" x14ac:dyDescent="0.25">
      <c r="A37" t="s">
        <v>46</v>
      </c>
      <c r="B37" s="4">
        <v>45325</v>
      </c>
      <c r="D37">
        <v>32</v>
      </c>
      <c r="E37" t="s">
        <v>911</v>
      </c>
      <c r="F37" t="s">
        <v>919</v>
      </c>
      <c r="G37" t="s">
        <v>922</v>
      </c>
      <c r="H37">
        <v>9046.8700000000008</v>
      </c>
      <c r="I37">
        <v>13</v>
      </c>
      <c r="J37">
        <v>57</v>
      </c>
      <c r="K37" t="s">
        <v>925</v>
      </c>
      <c r="L37" t="str">
        <f>IF(ISBLANK(Table1[[#This Row],[CancelDate]]),"Active","Churned")</f>
        <v>Active</v>
      </c>
      <c r="M37">
        <f ca="1">IF(ISBLANK(Table1[[#This Row],[CancelDate]]),DATEDIF(Table1[[#This Row],[JoinDate]],TODAY(),"M"),DATEDIF(Table1[[#This Row],[JoinDate]],Table1[[#This Row],[CancelDate]],"M"))</f>
        <v>25</v>
      </c>
      <c r="N37" t="str">
        <f>IF(Table1[[#This Row],[EngagementScore]]&lt;=40,"Low",IF(Table1[[#This Row],[EngagementScore]]&lt;=70,"Medium","High"))</f>
        <v>Medium</v>
      </c>
      <c r="O37" t="str">
        <f>IF(Table1[[#This Row],[Age]]&lt;25,"18-24",
IF(Table1[[#This Row],[Age]]&lt;35,"25-34",
IF(Table1[[#This Row],[Age]]&lt;45,"35-44","45+")))</f>
        <v>25-34</v>
      </c>
    </row>
    <row r="38" spans="1:15" x14ac:dyDescent="0.25">
      <c r="A38" t="s">
        <v>47</v>
      </c>
      <c r="B38" s="4">
        <v>44751</v>
      </c>
      <c r="C38" s="1">
        <v>45073</v>
      </c>
      <c r="D38">
        <v>45</v>
      </c>
      <c r="E38" t="s">
        <v>911</v>
      </c>
      <c r="F38" t="s">
        <v>914</v>
      </c>
      <c r="G38" t="s">
        <v>922</v>
      </c>
      <c r="H38">
        <v>6807.94</v>
      </c>
      <c r="I38">
        <v>4</v>
      </c>
      <c r="J38">
        <v>24</v>
      </c>
      <c r="K38" t="s">
        <v>925</v>
      </c>
      <c r="L38" t="str">
        <f>IF(ISBLANK(Table1[[#This Row],[CancelDate]]),"Active","Churned")</f>
        <v>Churned</v>
      </c>
      <c r="M38">
        <f ca="1">IF(ISBLANK(Table1[[#This Row],[CancelDate]]),DATEDIF(Table1[[#This Row],[JoinDate]],TODAY(),"M"),DATEDIF(Table1[[#This Row],[JoinDate]],Table1[[#This Row],[CancelDate]],"M"))</f>
        <v>10</v>
      </c>
      <c r="N38" t="str">
        <f>IF(Table1[[#This Row],[EngagementScore]]&lt;=40,"Low",IF(Table1[[#This Row],[EngagementScore]]&lt;=70,"Medium","High"))</f>
        <v>Low</v>
      </c>
      <c r="O38" t="str">
        <f>IF(Table1[[#This Row],[Age]]&lt;25,"18-24",
IF(Table1[[#This Row],[Age]]&lt;35,"25-34",
IF(Table1[[#This Row],[Age]]&lt;45,"35-44","45+")))</f>
        <v>45+</v>
      </c>
    </row>
    <row r="39" spans="1:15" x14ac:dyDescent="0.25">
      <c r="A39" t="s">
        <v>48</v>
      </c>
      <c r="B39" s="4">
        <v>44852</v>
      </c>
      <c r="D39">
        <v>20</v>
      </c>
      <c r="E39" t="s">
        <v>912</v>
      </c>
      <c r="F39" t="s">
        <v>919</v>
      </c>
      <c r="G39" t="s">
        <v>922</v>
      </c>
      <c r="H39">
        <v>10894.74</v>
      </c>
      <c r="I39">
        <v>14</v>
      </c>
      <c r="J39">
        <v>54</v>
      </c>
      <c r="K39" t="s">
        <v>923</v>
      </c>
      <c r="L39" t="str">
        <f>IF(ISBLANK(Table1[[#This Row],[CancelDate]]),"Active","Churned")</f>
        <v>Active</v>
      </c>
      <c r="M39">
        <f ca="1">IF(ISBLANK(Table1[[#This Row],[CancelDate]]),DATEDIF(Table1[[#This Row],[JoinDate]],TODAY(),"M"),DATEDIF(Table1[[#This Row],[JoinDate]],Table1[[#This Row],[CancelDate]],"M"))</f>
        <v>41</v>
      </c>
      <c r="N39" t="str">
        <f>IF(Table1[[#This Row],[EngagementScore]]&lt;=40,"Low",IF(Table1[[#This Row],[EngagementScore]]&lt;=70,"Medium","High"))</f>
        <v>Medium</v>
      </c>
      <c r="O39" t="str">
        <f>IF(Table1[[#This Row],[Age]]&lt;25,"18-24",
IF(Table1[[#This Row],[Age]]&lt;35,"25-34",
IF(Table1[[#This Row],[Age]]&lt;45,"35-44","45+")))</f>
        <v>18-24</v>
      </c>
    </row>
    <row r="40" spans="1:15" x14ac:dyDescent="0.25">
      <c r="A40" t="s">
        <v>49</v>
      </c>
      <c r="B40" s="4">
        <v>44874</v>
      </c>
      <c r="C40" s="1">
        <v>45204</v>
      </c>
      <c r="D40">
        <v>35</v>
      </c>
      <c r="E40" t="s">
        <v>912</v>
      </c>
      <c r="F40" t="s">
        <v>919</v>
      </c>
      <c r="G40" t="s">
        <v>922</v>
      </c>
      <c r="H40">
        <v>5181.8100000000004</v>
      </c>
      <c r="I40">
        <v>5</v>
      </c>
      <c r="J40">
        <v>36</v>
      </c>
      <c r="K40" t="s">
        <v>924</v>
      </c>
      <c r="L40" t="str">
        <f>IF(ISBLANK(Table1[[#This Row],[CancelDate]]),"Active","Churned")</f>
        <v>Churned</v>
      </c>
      <c r="M40">
        <f ca="1">IF(ISBLANK(Table1[[#This Row],[CancelDate]]),DATEDIF(Table1[[#This Row],[JoinDate]],TODAY(),"M"),DATEDIF(Table1[[#This Row],[JoinDate]],Table1[[#This Row],[CancelDate]],"M"))</f>
        <v>10</v>
      </c>
      <c r="N40" t="str">
        <f>IF(Table1[[#This Row],[EngagementScore]]&lt;=40,"Low",IF(Table1[[#This Row],[EngagementScore]]&lt;=70,"Medium","High"))</f>
        <v>Low</v>
      </c>
      <c r="O40" t="str">
        <f>IF(Table1[[#This Row],[Age]]&lt;25,"18-24",
IF(Table1[[#This Row],[Age]]&lt;35,"25-34",
IF(Table1[[#This Row],[Age]]&lt;45,"35-44","45+")))</f>
        <v>35-44</v>
      </c>
    </row>
    <row r="41" spans="1:15" x14ac:dyDescent="0.25">
      <c r="A41" t="s">
        <v>50</v>
      </c>
      <c r="B41" s="4">
        <v>44763</v>
      </c>
      <c r="D41">
        <v>19</v>
      </c>
      <c r="E41" t="s">
        <v>911</v>
      </c>
      <c r="F41" t="s">
        <v>917</v>
      </c>
      <c r="G41" t="s">
        <v>922</v>
      </c>
      <c r="H41">
        <v>3690.21</v>
      </c>
      <c r="I41">
        <v>6</v>
      </c>
      <c r="J41">
        <v>25</v>
      </c>
      <c r="K41" t="s">
        <v>925</v>
      </c>
      <c r="L41" t="str">
        <f>IF(ISBLANK(Table1[[#This Row],[CancelDate]]),"Active","Churned")</f>
        <v>Active</v>
      </c>
      <c r="M41">
        <f ca="1">IF(ISBLANK(Table1[[#This Row],[CancelDate]]),DATEDIF(Table1[[#This Row],[JoinDate]],TODAY(),"M"),DATEDIF(Table1[[#This Row],[JoinDate]],Table1[[#This Row],[CancelDate]],"M"))</f>
        <v>44</v>
      </c>
      <c r="N41" t="str">
        <f>IF(Table1[[#This Row],[EngagementScore]]&lt;=40,"Low",IF(Table1[[#This Row],[EngagementScore]]&lt;=70,"Medium","High"))</f>
        <v>Low</v>
      </c>
      <c r="O41" t="str">
        <f>IF(Table1[[#This Row],[Age]]&lt;25,"18-24",
IF(Table1[[#This Row],[Age]]&lt;35,"25-34",
IF(Table1[[#This Row],[Age]]&lt;45,"35-44","45+")))</f>
        <v>18-24</v>
      </c>
    </row>
    <row r="42" spans="1:15" x14ac:dyDescent="0.25">
      <c r="A42" t="s">
        <v>51</v>
      </c>
      <c r="B42" s="4">
        <v>45024</v>
      </c>
      <c r="D42">
        <v>20</v>
      </c>
      <c r="E42" t="s">
        <v>911</v>
      </c>
      <c r="F42" t="s">
        <v>915</v>
      </c>
      <c r="G42" t="s">
        <v>922</v>
      </c>
      <c r="H42">
        <v>3953.63</v>
      </c>
      <c r="I42">
        <v>1</v>
      </c>
      <c r="J42">
        <v>25</v>
      </c>
      <c r="K42" t="s">
        <v>923</v>
      </c>
      <c r="L42" t="str">
        <f>IF(ISBLANK(Table1[[#This Row],[CancelDate]]),"Active","Churned")</f>
        <v>Active</v>
      </c>
      <c r="M42">
        <f ca="1">IF(ISBLANK(Table1[[#This Row],[CancelDate]]),DATEDIF(Table1[[#This Row],[JoinDate]],TODAY(),"M"),DATEDIF(Table1[[#This Row],[JoinDate]],Table1[[#This Row],[CancelDate]],"M"))</f>
        <v>35</v>
      </c>
      <c r="N42" t="str">
        <f>IF(Table1[[#This Row],[EngagementScore]]&lt;=40,"Low",IF(Table1[[#This Row],[EngagementScore]]&lt;=70,"Medium","High"))</f>
        <v>Low</v>
      </c>
      <c r="O42" t="str">
        <f>IF(Table1[[#This Row],[Age]]&lt;25,"18-24",
IF(Table1[[#This Row],[Age]]&lt;35,"25-34",
IF(Table1[[#This Row],[Age]]&lt;45,"35-44","45+")))</f>
        <v>18-24</v>
      </c>
    </row>
    <row r="43" spans="1:15" x14ac:dyDescent="0.25">
      <c r="A43" t="s">
        <v>52</v>
      </c>
      <c r="B43" s="4">
        <v>45112</v>
      </c>
      <c r="D43">
        <v>48</v>
      </c>
      <c r="E43" t="s">
        <v>912</v>
      </c>
      <c r="F43" t="s">
        <v>919</v>
      </c>
      <c r="G43" t="s">
        <v>921</v>
      </c>
      <c r="H43">
        <v>9411.86</v>
      </c>
      <c r="I43">
        <v>13</v>
      </c>
      <c r="J43">
        <v>65</v>
      </c>
      <c r="K43" t="s">
        <v>925</v>
      </c>
      <c r="L43" t="str">
        <f>IF(ISBLANK(Table1[[#This Row],[CancelDate]]),"Active","Churned")</f>
        <v>Active</v>
      </c>
      <c r="M43">
        <f ca="1">IF(ISBLANK(Table1[[#This Row],[CancelDate]]),DATEDIF(Table1[[#This Row],[JoinDate]],TODAY(),"M"),DATEDIF(Table1[[#This Row],[JoinDate]],Table1[[#This Row],[CancelDate]],"M"))</f>
        <v>32</v>
      </c>
      <c r="N43" t="str">
        <f>IF(Table1[[#This Row],[EngagementScore]]&lt;=40,"Low",IF(Table1[[#This Row],[EngagementScore]]&lt;=70,"Medium","High"))</f>
        <v>Medium</v>
      </c>
      <c r="O43" t="str">
        <f>IF(Table1[[#This Row],[Age]]&lt;25,"18-24",
IF(Table1[[#This Row],[Age]]&lt;35,"25-34",
IF(Table1[[#This Row],[Age]]&lt;45,"35-44","45+")))</f>
        <v>45+</v>
      </c>
    </row>
    <row r="44" spans="1:15" x14ac:dyDescent="0.25">
      <c r="A44" t="s">
        <v>53</v>
      </c>
      <c r="B44" s="4">
        <v>45334</v>
      </c>
      <c r="C44" s="1">
        <v>45683</v>
      </c>
      <c r="D44">
        <v>27</v>
      </c>
      <c r="E44" t="s">
        <v>911</v>
      </c>
      <c r="F44" t="s">
        <v>915</v>
      </c>
      <c r="G44" t="s">
        <v>922</v>
      </c>
      <c r="H44">
        <v>4567.9399999999996</v>
      </c>
      <c r="I44">
        <v>1</v>
      </c>
      <c r="J44">
        <v>31</v>
      </c>
      <c r="K44" t="s">
        <v>923</v>
      </c>
      <c r="L44" t="str">
        <f>IF(ISBLANK(Table1[[#This Row],[CancelDate]]),"Active","Churned")</f>
        <v>Churned</v>
      </c>
      <c r="M44">
        <f ca="1">IF(ISBLANK(Table1[[#This Row],[CancelDate]]),DATEDIF(Table1[[#This Row],[JoinDate]],TODAY(),"M"),DATEDIF(Table1[[#This Row],[JoinDate]],Table1[[#This Row],[CancelDate]],"M"))</f>
        <v>11</v>
      </c>
      <c r="N44" t="str">
        <f>IF(Table1[[#This Row],[EngagementScore]]&lt;=40,"Low",IF(Table1[[#This Row],[EngagementScore]]&lt;=70,"Medium","High"))</f>
        <v>Low</v>
      </c>
      <c r="O44" t="str">
        <f>IF(Table1[[#This Row],[Age]]&lt;25,"18-24",
IF(Table1[[#This Row],[Age]]&lt;35,"25-34",
IF(Table1[[#This Row],[Age]]&lt;45,"35-44","45+")))</f>
        <v>25-34</v>
      </c>
    </row>
    <row r="45" spans="1:15" x14ac:dyDescent="0.25">
      <c r="A45" t="s">
        <v>54</v>
      </c>
      <c r="B45" s="4">
        <v>45056</v>
      </c>
      <c r="D45">
        <v>41</v>
      </c>
      <c r="E45" t="s">
        <v>911</v>
      </c>
      <c r="F45" t="s">
        <v>916</v>
      </c>
      <c r="G45" t="s">
        <v>921</v>
      </c>
      <c r="H45">
        <v>12306.02</v>
      </c>
      <c r="I45">
        <v>7</v>
      </c>
      <c r="J45">
        <v>57</v>
      </c>
      <c r="K45" t="s">
        <v>925</v>
      </c>
      <c r="L45" t="str">
        <f>IF(ISBLANK(Table1[[#This Row],[CancelDate]]),"Active","Churned")</f>
        <v>Active</v>
      </c>
      <c r="M45">
        <f ca="1">IF(ISBLANK(Table1[[#This Row],[CancelDate]]),DATEDIF(Table1[[#This Row],[JoinDate]],TODAY(),"M"),DATEDIF(Table1[[#This Row],[JoinDate]],Table1[[#This Row],[CancelDate]],"M"))</f>
        <v>34</v>
      </c>
      <c r="N45" t="str">
        <f>IF(Table1[[#This Row],[EngagementScore]]&lt;=40,"Low",IF(Table1[[#This Row],[EngagementScore]]&lt;=70,"Medium","High"))</f>
        <v>Medium</v>
      </c>
      <c r="O45" t="str">
        <f>IF(Table1[[#This Row],[Age]]&lt;25,"18-24",
IF(Table1[[#This Row],[Age]]&lt;35,"25-34",
IF(Table1[[#This Row],[Age]]&lt;45,"35-44","45+")))</f>
        <v>35-44</v>
      </c>
    </row>
    <row r="46" spans="1:15" x14ac:dyDescent="0.25">
      <c r="A46" t="s">
        <v>55</v>
      </c>
      <c r="B46" s="4">
        <v>44699</v>
      </c>
      <c r="D46">
        <v>22</v>
      </c>
      <c r="E46" t="s">
        <v>912</v>
      </c>
      <c r="F46" t="s">
        <v>917</v>
      </c>
      <c r="G46" t="s">
        <v>921</v>
      </c>
      <c r="H46">
        <v>7441.36</v>
      </c>
      <c r="I46">
        <v>7</v>
      </c>
      <c r="J46">
        <v>32</v>
      </c>
      <c r="K46" t="s">
        <v>923</v>
      </c>
      <c r="L46" t="str">
        <f>IF(ISBLANK(Table1[[#This Row],[CancelDate]]),"Active","Churned")</f>
        <v>Active</v>
      </c>
      <c r="M46">
        <f ca="1">IF(ISBLANK(Table1[[#This Row],[CancelDate]]),DATEDIF(Table1[[#This Row],[JoinDate]],TODAY(),"M"),DATEDIF(Table1[[#This Row],[JoinDate]],Table1[[#This Row],[CancelDate]],"M"))</f>
        <v>46</v>
      </c>
      <c r="N46" t="str">
        <f>IF(Table1[[#This Row],[EngagementScore]]&lt;=40,"Low",IF(Table1[[#This Row],[EngagementScore]]&lt;=70,"Medium","High"))</f>
        <v>Low</v>
      </c>
      <c r="O46" t="str">
        <f>IF(Table1[[#This Row],[Age]]&lt;25,"18-24",
IF(Table1[[#This Row],[Age]]&lt;35,"25-34",
IF(Table1[[#This Row],[Age]]&lt;45,"35-44","45+")))</f>
        <v>18-24</v>
      </c>
    </row>
    <row r="47" spans="1:15" x14ac:dyDescent="0.25">
      <c r="A47" t="s">
        <v>56</v>
      </c>
      <c r="B47" s="4">
        <v>45417</v>
      </c>
      <c r="D47">
        <v>54</v>
      </c>
      <c r="E47" t="s">
        <v>911</v>
      </c>
      <c r="F47" t="s">
        <v>914</v>
      </c>
      <c r="G47" t="s">
        <v>921</v>
      </c>
      <c r="H47">
        <v>10839.14</v>
      </c>
      <c r="I47">
        <v>10</v>
      </c>
      <c r="J47">
        <v>66</v>
      </c>
      <c r="K47" t="s">
        <v>925</v>
      </c>
      <c r="L47" t="str">
        <f>IF(ISBLANK(Table1[[#This Row],[CancelDate]]),"Active","Churned")</f>
        <v>Active</v>
      </c>
      <c r="M47">
        <f ca="1">IF(ISBLANK(Table1[[#This Row],[CancelDate]]),DATEDIF(Table1[[#This Row],[JoinDate]],TODAY(),"M"),DATEDIF(Table1[[#This Row],[JoinDate]],Table1[[#This Row],[CancelDate]],"M"))</f>
        <v>22</v>
      </c>
      <c r="N47" t="str">
        <f>IF(Table1[[#This Row],[EngagementScore]]&lt;=40,"Low",IF(Table1[[#This Row],[EngagementScore]]&lt;=70,"Medium","High"))</f>
        <v>Medium</v>
      </c>
      <c r="O47" t="str">
        <f>IF(Table1[[#This Row],[Age]]&lt;25,"18-24",
IF(Table1[[#This Row],[Age]]&lt;35,"25-34",
IF(Table1[[#This Row],[Age]]&lt;45,"35-44","45+")))</f>
        <v>45+</v>
      </c>
    </row>
    <row r="48" spans="1:15" x14ac:dyDescent="0.25">
      <c r="A48" t="s">
        <v>57</v>
      </c>
      <c r="B48" s="4">
        <v>45045</v>
      </c>
      <c r="C48" s="1">
        <v>45138</v>
      </c>
      <c r="D48">
        <v>48</v>
      </c>
      <c r="E48" t="s">
        <v>912</v>
      </c>
      <c r="F48" t="s">
        <v>914</v>
      </c>
      <c r="G48" t="s">
        <v>922</v>
      </c>
      <c r="H48">
        <v>8082.22</v>
      </c>
      <c r="I48">
        <v>10</v>
      </c>
      <c r="J48">
        <v>45</v>
      </c>
      <c r="K48" t="s">
        <v>924</v>
      </c>
      <c r="L48" t="str">
        <f>IF(ISBLANK(Table1[[#This Row],[CancelDate]]),"Active","Churned")</f>
        <v>Churned</v>
      </c>
      <c r="M48">
        <f ca="1">IF(ISBLANK(Table1[[#This Row],[CancelDate]]),DATEDIF(Table1[[#This Row],[JoinDate]],TODAY(),"M"),DATEDIF(Table1[[#This Row],[JoinDate]],Table1[[#This Row],[CancelDate]],"M"))</f>
        <v>3</v>
      </c>
      <c r="N48" t="str">
        <f>IF(Table1[[#This Row],[EngagementScore]]&lt;=40,"Low",IF(Table1[[#This Row],[EngagementScore]]&lt;=70,"Medium","High"))</f>
        <v>Medium</v>
      </c>
      <c r="O48" t="str">
        <f>IF(Table1[[#This Row],[Age]]&lt;25,"18-24",
IF(Table1[[#This Row],[Age]]&lt;35,"25-34",
IF(Table1[[#This Row],[Age]]&lt;45,"35-44","45+")))</f>
        <v>45+</v>
      </c>
    </row>
    <row r="49" spans="1:15" x14ac:dyDescent="0.25">
      <c r="A49" t="s">
        <v>58</v>
      </c>
      <c r="B49" s="4">
        <v>44757</v>
      </c>
      <c r="C49" s="1">
        <v>45056</v>
      </c>
      <c r="D49">
        <v>34</v>
      </c>
      <c r="E49" t="s">
        <v>911</v>
      </c>
      <c r="F49" t="s">
        <v>917</v>
      </c>
      <c r="G49" t="s">
        <v>921</v>
      </c>
      <c r="H49">
        <v>4512.96</v>
      </c>
      <c r="I49">
        <v>4</v>
      </c>
      <c r="J49">
        <v>36</v>
      </c>
      <c r="K49" t="s">
        <v>913</v>
      </c>
      <c r="L49" t="str">
        <f>IF(ISBLANK(Table1[[#This Row],[CancelDate]]),"Active","Churned")</f>
        <v>Churned</v>
      </c>
      <c r="M49">
        <f ca="1">IF(ISBLANK(Table1[[#This Row],[CancelDate]]),DATEDIF(Table1[[#This Row],[JoinDate]],TODAY(),"M"),DATEDIF(Table1[[#This Row],[JoinDate]],Table1[[#This Row],[CancelDate]],"M"))</f>
        <v>9</v>
      </c>
      <c r="N49" t="str">
        <f>IF(Table1[[#This Row],[EngagementScore]]&lt;=40,"Low",IF(Table1[[#This Row],[EngagementScore]]&lt;=70,"Medium","High"))</f>
        <v>Low</v>
      </c>
      <c r="O49" t="str">
        <f>IF(Table1[[#This Row],[Age]]&lt;25,"18-24",
IF(Table1[[#This Row],[Age]]&lt;35,"25-34",
IF(Table1[[#This Row],[Age]]&lt;45,"35-44","45+")))</f>
        <v>25-34</v>
      </c>
    </row>
    <row r="50" spans="1:15" x14ac:dyDescent="0.25">
      <c r="A50" t="s">
        <v>59</v>
      </c>
      <c r="B50" s="4">
        <v>44634</v>
      </c>
      <c r="C50" s="1">
        <v>44709</v>
      </c>
      <c r="D50">
        <v>23</v>
      </c>
      <c r="E50" t="s">
        <v>911</v>
      </c>
      <c r="F50" t="s">
        <v>918</v>
      </c>
      <c r="G50" t="s">
        <v>921</v>
      </c>
      <c r="H50">
        <v>4367.63</v>
      </c>
      <c r="I50">
        <v>1</v>
      </c>
      <c r="J50">
        <v>16</v>
      </c>
      <c r="K50" t="s">
        <v>923</v>
      </c>
      <c r="L50" t="str">
        <f>IF(ISBLANK(Table1[[#This Row],[CancelDate]]),"Active","Churned")</f>
        <v>Churned</v>
      </c>
      <c r="M50">
        <f ca="1">IF(ISBLANK(Table1[[#This Row],[CancelDate]]),DATEDIF(Table1[[#This Row],[JoinDate]],TODAY(),"M"),DATEDIF(Table1[[#This Row],[JoinDate]],Table1[[#This Row],[CancelDate]],"M"))</f>
        <v>2</v>
      </c>
      <c r="N50" t="str">
        <f>IF(Table1[[#This Row],[EngagementScore]]&lt;=40,"Low",IF(Table1[[#This Row],[EngagementScore]]&lt;=70,"Medium","High"))</f>
        <v>Low</v>
      </c>
      <c r="O50" t="str">
        <f>IF(Table1[[#This Row],[Age]]&lt;25,"18-24",
IF(Table1[[#This Row],[Age]]&lt;35,"25-34",
IF(Table1[[#This Row],[Age]]&lt;45,"35-44","45+")))</f>
        <v>18-24</v>
      </c>
    </row>
    <row r="51" spans="1:15" x14ac:dyDescent="0.25">
      <c r="A51" t="s">
        <v>60</v>
      </c>
      <c r="B51" s="4">
        <v>45413</v>
      </c>
      <c r="C51" s="1">
        <v>45729</v>
      </c>
      <c r="D51">
        <v>57</v>
      </c>
      <c r="E51" t="s">
        <v>911</v>
      </c>
      <c r="F51" t="s">
        <v>914</v>
      </c>
      <c r="G51" t="s">
        <v>921</v>
      </c>
      <c r="H51">
        <v>7481.38</v>
      </c>
      <c r="I51">
        <v>11</v>
      </c>
      <c r="J51">
        <v>46</v>
      </c>
      <c r="K51" t="s">
        <v>925</v>
      </c>
      <c r="L51" t="str">
        <f>IF(ISBLANK(Table1[[#This Row],[CancelDate]]),"Active","Churned")</f>
        <v>Churned</v>
      </c>
      <c r="M51">
        <f ca="1">IF(ISBLANK(Table1[[#This Row],[CancelDate]]),DATEDIF(Table1[[#This Row],[JoinDate]],TODAY(),"M"),DATEDIF(Table1[[#This Row],[JoinDate]],Table1[[#This Row],[CancelDate]],"M"))</f>
        <v>10</v>
      </c>
      <c r="N51" t="str">
        <f>IF(Table1[[#This Row],[EngagementScore]]&lt;=40,"Low",IF(Table1[[#This Row],[EngagementScore]]&lt;=70,"Medium","High"))</f>
        <v>Medium</v>
      </c>
      <c r="O51" t="str">
        <f>IF(Table1[[#This Row],[Age]]&lt;25,"18-24",
IF(Table1[[#This Row],[Age]]&lt;35,"25-34",
IF(Table1[[#This Row],[Age]]&lt;45,"35-44","45+")))</f>
        <v>45+</v>
      </c>
    </row>
    <row r="52" spans="1:15" x14ac:dyDescent="0.25">
      <c r="A52" t="s">
        <v>61</v>
      </c>
      <c r="B52" s="4">
        <v>44819</v>
      </c>
      <c r="D52">
        <v>19</v>
      </c>
      <c r="E52" t="s">
        <v>912</v>
      </c>
      <c r="F52" t="s">
        <v>914</v>
      </c>
      <c r="G52" t="s">
        <v>922</v>
      </c>
      <c r="H52">
        <v>22034.02</v>
      </c>
      <c r="I52">
        <v>26</v>
      </c>
      <c r="J52">
        <v>87</v>
      </c>
      <c r="K52" t="s">
        <v>923</v>
      </c>
      <c r="L52" t="str">
        <f>IF(ISBLANK(Table1[[#This Row],[CancelDate]]),"Active","Churned")</f>
        <v>Active</v>
      </c>
      <c r="M52">
        <f ca="1">IF(ISBLANK(Table1[[#This Row],[CancelDate]]),DATEDIF(Table1[[#This Row],[JoinDate]],TODAY(),"M"),DATEDIF(Table1[[#This Row],[JoinDate]],Table1[[#This Row],[CancelDate]],"M"))</f>
        <v>42</v>
      </c>
      <c r="N52" t="str">
        <f>IF(Table1[[#This Row],[EngagementScore]]&lt;=40,"Low",IF(Table1[[#This Row],[EngagementScore]]&lt;=70,"Medium","High"))</f>
        <v>High</v>
      </c>
      <c r="O52" t="str">
        <f>IF(Table1[[#This Row],[Age]]&lt;25,"18-24",
IF(Table1[[#This Row],[Age]]&lt;35,"25-34",
IF(Table1[[#This Row],[Age]]&lt;45,"35-44","45+")))</f>
        <v>18-24</v>
      </c>
    </row>
    <row r="53" spans="1:15" x14ac:dyDescent="0.25">
      <c r="A53" t="s">
        <v>62</v>
      </c>
      <c r="B53" s="4">
        <v>45266</v>
      </c>
      <c r="C53" s="1">
        <v>45343</v>
      </c>
      <c r="D53">
        <v>44</v>
      </c>
      <c r="E53" t="s">
        <v>911</v>
      </c>
      <c r="F53" t="s">
        <v>918</v>
      </c>
      <c r="G53" t="s">
        <v>922</v>
      </c>
      <c r="H53">
        <v>6063.35</v>
      </c>
      <c r="I53">
        <v>1</v>
      </c>
      <c r="J53">
        <v>24</v>
      </c>
      <c r="K53" t="s">
        <v>925</v>
      </c>
      <c r="L53" t="str">
        <f>IF(ISBLANK(Table1[[#This Row],[CancelDate]]),"Active","Churned")</f>
        <v>Churned</v>
      </c>
      <c r="M53">
        <f ca="1">IF(ISBLANK(Table1[[#This Row],[CancelDate]]),DATEDIF(Table1[[#This Row],[JoinDate]],TODAY(),"M"),DATEDIF(Table1[[#This Row],[JoinDate]],Table1[[#This Row],[CancelDate]],"M"))</f>
        <v>2</v>
      </c>
      <c r="N53" t="str">
        <f>IF(Table1[[#This Row],[EngagementScore]]&lt;=40,"Low",IF(Table1[[#This Row],[EngagementScore]]&lt;=70,"Medium","High"))</f>
        <v>Low</v>
      </c>
      <c r="O53" t="str">
        <f>IF(Table1[[#This Row],[Age]]&lt;25,"18-24",
IF(Table1[[#This Row],[Age]]&lt;35,"25-34",
IF(Table1[[#This Row],[Age]]&lt;45,"35-44","45+")))</f>
        <v>35-44</v>
      </c>
    </row>
    <row r="54" spans="1:15" x14ac:dyDescent="0.25">
      <c r="A54" t="s">
        <v>63</v>
      </c>
      <c r="B54" s="4">
        <v>44962</v>
      </c>
      <c r="D54">
        <v>50</v>
      </c>
      <c r="E54" t="s">
        <v>912</v>
      </c>
      <c r="F54" t="s">
        <v>916</v>
      </c>
      <c r="G54" t="s">
        <v>920</v>
      </c>
      <c r="H54">
        <v>10097.959999999999</v>
      </c>
      <c r="I54">
        <v>12</v>
      </c>
      <c r="J54">
        <v>69</v>
      </c>
      <c r="K54" t="s">
        <v>925</v>
      </c>
      <c r="L54" t="str">
        <f>IF(ISBLANK(Table1[[#This Row],[CancelDate]]),"Active","Churned")</f>
        <v>Active</v>
      </c>
      <c r="M54">
        <f ca="1">IF(ISBLANK(Table1[[#This Row],[CancelDate]]),DATEDIF(Table1[[#This Row],[JoinDate]],TODAY(),"M"),DATEDIF(Table1[[#This Row],[JoinDate]],Table1[[#This Row],[CancelDate]],"M"))</f>
        <v>37</v>
      </c>
      <c r="N54" t="str">
        <f>IF(Table1[[#This Row],[EngagementScore]]&lt;=40,"Low",IF(Table1[[#This Row],[EngagementScore]]&lt;=70,"Medium","High"))</f>
        <v>Medium</v>
      </c>
      <c r="O54" t="str">
        <f>IF(Table1[[#This Row],[Age]]&lt;25,"18-24",
IF(Table1[[#This Row],[Age]]&lt;35,"25-34",
IF(Table1[[#This Row],[Age]]&lt;45,"35-44","45+")))</f>
        <v>45+</v>
      </c>
    </row>
    <row r="55" spans="1:15" x14ac:dyDescent="0.25">
      <c r="A55" t="s">
        <v>64</v>
      </c>
      <c r="B55" s="4">
        <v>44936</v>
      </c>
      <c r="C55" s="1">
        <v>45198</v>
      </c>
      <c r="D55">
        <v>31</v>
      </c>
      <c r="E55" t="s">
        <v>911</v>
      </c>
      <c r="F55" t="s">
        <v>914</v>
      </c>
      <c r="G55" t="s">
        <v>921</v>
      </c>
      <c r="H55">
        <v>2616.66</v>
      </c>
      <c r="I55">
        <v>3</v>
      </c>
      <c r="J55">
        <v>19</v>
      </c>
      <c r="K55" t="s">
        <v>923</v>
      </c>
      <c r="L55" t="str">
        <f>IF(ISBLANK(Table1[[#This Row],[CancelDate]]),"Active","Churned")</f>
        <v>Churned</v>
      </c>
      <c r="M55">
        <f ca="1">IF(ISBLANK(Table1[[#This Row],[CancelDate]]),DATEDIF(Table1[[#This Row],[JoinDate]],TODAY(),"M"),DATEDIF(Table1[[#This Row],[JoinDate]],Table1[[#This Row],[CancelDate]],"M"))</f>
        <v>8</v>
      </c>
      <c r="N55" t="str">
        <f>IF(Table1[[#This Row],[EngagementScore]]&lt;=40,"Low",IF(Table1[[#This Row],[EngagementScore]]&lt;=70,"Medium","High"))</f>
        <v>Low</v>
      </c>
      <c r="O55" t="str">
        <f>IF(Table1[[#This Row],[Age]]&lt;25,"18-24",
IF(Table1[[#This Row],[Age]]&lt;35,"25-34",
IF(Table1[[#This Row],[Age]]&lt;45,"35-44","45+")))</f>
        <v>25-34</v>
      </c>
    </row>
    <row r="56" spans="1:15" x14ac:dyDescent="0.25">
      <c r="A56" t="s">
        <v>65</v>
      </c>
      <c r="B56" s="4">
        <v>44911</v>
      </c>
      <c r="D56">
        <v>29</v>
      </c>
      <c r="E56" t="s">
        <v>911</v>
      </c>
      <c r="F56" t="s">
        <v>916</v>
      </c>
      <c r="G56" t="s">
        <v>921</v>
      </c>
      <c r="H56">
        <v>3586.71</v>
      </c>
      <c r="I56">
        <v>7</v>
      </c>
      <c r="J56">
        <v>24</v>
      </c>
      <c r="K56" t="s">
        <v>923</v>
      </c>
      <c r="L56" t="str">
        <f>IF(ISBLANK(Table1[[#This Row],[CancelDate]]),"Active","Churned")</f>
        <v>Active</v>
      </c>
      <c r="M56">
        <f ca="1">IF(ISBLANK(Table1[[#This Row],[CancelDate]]),DATEDIF(Table1[[#This Row],[JoinDate]],TODAY(),"M"),DATEDIF(Table1[[#This Row],[JoinDate]],Table1[[#This Row],[CancelDate]],"M"))</f>
        <v>39</v>
      </c>
      <c r="N56" t="str">
        <f>IF(Table1[[#This Row],[EngagementScore]]&lt;=40,"Low",IF(Table1[[#This Row],[EngagementScore]]&lt;=70,"Medium","High"))</f>
        <v>Low</v>
      </c>
      <c r="O56" t="str">
        <f>IF(Table1[[#This Row],[Age]]&lt;25,"18-24",
IF(Table1[[#This Row],[Age]]&lt;35,"25-34",
IF(Table1[[#This Row],[Age]]&lt;45,"35-44","45+")))</f>
        <v>25-34</v>
      </c>
    </row>
    <row r="57" spans="1:15" x14ac:dyDescent="0.25">
      <c r="A57" t="s">
        <v>66</v>
      </c>
      <c r="B57" s="4">
        <v>45166</v>
      </c>
      <c r="D57">
        <v>57</v>
      </c>
      <c r="E57" t="s">
        <v>911</v>
      </c>
      <c r="F57" t="s">
        <v>917</v>
      </c>
      <c r="G57" t="s">
        <v>921</v>
      </c>
      <c r="H57">
        <v>4454.99</v>
      </c>
      <c r="I57">
        <v>5</v>
      </c>
      <c r="J57">
        <v>37</v>
      </c>
      <c r="K57" t="s">
        <v>923</v>
      </c>
      <c r="L57" t="str">
        <f>IF(ISBLANK(Table1[[#This Row],[CancelDate]]),"Active","Churned")</f>
        <v>Active</v>
      </c>
      <c r="M57">
        <f ca="1">IF(ISBLANK(Table1[[#This Row],[CancelDate]]),DATEDIF(Table1[[#This Row],[JoinDate]],TODAY(),"M"),DATEDIF(Table1[[#This Row],[JoinDate]],Table1[[#This Row],[CancelDate]],"M"))</f>
        <v>31</v>
      </c>
      <c r="N57" t="str">
        <f>IF(Table1[[#This Row],[EngagementScore]]&lt;=40,"Low",IF(Table1[[#This Row],[EngagementScore]]&lt;=70,"Medium","High"))</f>
        <v>Low</v>
      </c>
      <c r="O57" t="str">
        <f>IF(Table1[[#This Row],[Age]]&lt;25,"18-24",
IF(Table1[[#This Row],[Age]]&lt;35,"25-34",
IF(Table1[[#This Row],[Age]]&lt;45,"35-44","45+")))</f>
        <v>45+</v>
      </c>
    </row>
    <row r="58" spans="1:15" x14ac:dyDescent="0.25">
      <c r="A58" t="s">
        <v>67</v>
      </c>
      <c r="B58" s="4">
        <v>45326</v>
      </c>
      <c r="D58">
        <v>29</v>
      </c>
      <c r="E58" t="s">
        <v>912</v>
      </c>
      <c r="F58" t="s">
        <v>917</v>
      </c>
      <c r="G58" t="s">
        <v>920</v>
      </c>
      <c r="H58">
        <v>5784.49</v>
      </c>
      <c r="I58">
        <v>3</v>
      </c>
      <c r="J58">
        <v>26</v>
      </c>
      <c r="K58" t="s">
        <v>925</v>
      </c>
      <c r="L58" t="str">
        <f>IF(ISBLANK(Table1[[#This Row],[CancelDate]]),"Active","Churned")</f>
        <v>Active</v>
      </c>
      <c r="M58">
        <f ca="1">IF(ISBLANK(Table1[[#This Row],[CancelDate]]),DATEDIF(Table1[[#This Row],[JoinDate]],TODAY(),"M"),DATEDIF(Table1[[#This Row],[JoinDate]],Table1[[#This Row],[CancelDate]],"M"))</f>
        <v>25</v>
      </c>
      <c r="N58" t="str">
        <f>IF(Table1[[#This Row],[EngagementScore]]&lt;=40,"Low",IF(Table1[[#This Row],[EngagementScore]]&lt;=70,"Medium","High"))</f>
        <v>Low</v>
      </c>
      <c r="O58" t="str">
        <f>IF(Table1[[#This Row],[Age]]&lt;25,"18-24",
IF(Table1[[#This Row],[Age]]&lt;35,"25-34",
IF(Table1[[#This Row],[Age]]&lt;45,"35-44","45+")))</f>
        <v>25-34</v>
      </c>
    </row>
    <row r="59" spans="1:15" x14ac:dyDescent="0.25">
      <c r="A59" t="s">
        <v>68</v>
      </c>
      <c r="B59" s="4">
        <v>45145</v>
      </c>
      <c r="C59" s="1">
        <v>45328</v>
      </c>
      <c r="D59">
        <v>51</v>
      </c>
      <c r="E59" t="s">
        <v>911</v>
      </c>
      <c r="F59" t="s">
        <v>916</v>
      </c>
      <c r="G59" t="s">
        <v>920</v>
      </c>
      <c r="H59">
        <v>4382.1000000000004</v>
      </c>
      <c r="I59">
        <v>4</v>
      </c>
      <c r="J59">
        <v>28</v>
      </c>
      <c r="K59" t="s">
        <v>924</v>
      </c>
      <c r="L59" t="str">
        <f>IF(ISBLANK(Table1[[#This Row],[CancelDate]]),"Active","Churned")</f>
        <v>Churned</v>
      </c>
      <c r="M59">
        <f ca="1">IF(ISBLANK(Table1[[#This Row],[CancelDate]]),DATEDIF(Table1[[#This Row],[JoinDate]],TODAY(),"M"),DATEDIF(Table1[[#This Row],[JoinDate]],Table1[[#This Row],[CancelDate]],"M"))</f>
        <v>5</v>
      </c>
      <c r="N59" t="str">
        <f>IF(Table1[[#This Row],[EngagementScore]]&lt;=40,"Low",IF(Table1[[#This Row],[EngagementScore]]&lt;=70,"Medium","High"))</f>
        <v>Low</v>
      </c>
      <c r="O59" t="str">
        <f>IF(Table1[[#This Row],[Age]]&lt;25,"18-24",
IF(Table1[[#This Row],[Age]]&lt;35,"25-34",
IF(Table1[[#This Row],[Age]]&lt;45,"35-44","45+")))</f>
        <v>45+</v>
      </c>
    </row>
    <row r="60" spans="1:15" x14ac:dyDescent="0.25">
      <c r="A60" t="s">
        <v>69</v>
      </c>
      <c r="B60" s="4">
        <v>44841</v>
      </c>
      <c r="D60">
        <v>55</v>
      </c>
      <c r="E60" t="s">
        <v>911</v>
      </c>
      <c r="F60" t="s">
        <v>918</v>
      </c>
      <c r="G60" t="s">
        <v>921</v>
      </c>
      <c r="H60">
        <v>6114.28</v>
      </c>
      <c r="I60">
        <v>11</v>
      </c>
      <c r="J60">
        <v>64</v>
      </c>
      <c r="K60" t="s">
        <v>923</v>
      </c>
      <c r="L60" t="str">
        <f>IF(ISBLANK(Table1[[#This Row],[CancelDate]]),"Active","Churned")</f>
        <v>Active</v>
      </c>
      <c r="M60">
        <f ca="1">IF(ISBLANK(Table1[[#This Row],[CancelDate]]),DATEDIF(Table1[[#This Row],[JoinDate]],TODAY(),"M"),DATEDIF(Table1[[#This Row],[JoinDate]],Table1[[#This Row],[CancelDate]],"M"))</f>
        <v>41</v>
      </c>
      <c r="N60" t="str">
        <f>IF(Table1[[#This Row],[EngagementScore]]&lt;=40,"Low",IF(Table1[[#This Row],[EngagementScore]]&lt;=70,"Medium","High"))</f>
        <v>Medium</v>
      </c>
      <c r="O60" t="str">
        <f>IF(Table1[[#This Row],[Age]]&lt;25,"18-24",
IF(Table1[[#This Row],[Age]]&lt;35,"25-34",
IF(Table1[[#This Row],[Age]]&lt;45,"35-44","45+")))</f>
        <v>45+</v>
      </c>
    </row>
    <row r="61" spans="1:15" x14ac:dyDescent="0.25">
      <c r="A61" t="s">
        <v>70</v>
      </c>
      <c r="B61" s="4">
        <v>45084</v>
      </c>
      <c r="D61">
        <v>42</v>
      </c>
      <c r="E61" t="s">
        <v>911</v>
      </c>
      <c r="F61" t="s">
        <v>915</v>
      </c>
      <c r="G61" t="s">
        <v>922</v>
      </c>
      <c r="H61">
        <v>16092.91</v>
      </c>
      <c r="I61">
        <v>29</v>
      </c>
      <c r="J61">
        <v>75</v>
      </c>
      <c r="K61" t="s">
        <v>925</v>
      </c>
      <c r="L61" t="str">
        <f>IF(ISBLANK(Table1[[#This Row],[CancelDate]]),"Active","Churned")</f>
        <v>Active</v>
      </c>
      <c r="M61">
        <f ca="1">IF(ISBLANK(Table1[[#This Row],[CancelDate]]),DATEDIF(Table1[[#This Row],[JoinDate]],TODAY(),"M"),DATEDIF(Table1[[#This Row],[JoinDate]],Table1[[#This Row],[CancelDate]],"M"))</f>
        <v>33</v>
      </c>
      <c r="N61" t="str">
        <f>IF(Table1[[#This Row],[EngagementScore]]&lt;=40,"Low",IF(Table1[[#This Row],[EngagementScore]]&lt;=70,"Medium","High"))</f>
        <v>High</v>
      </c>
      <c r="O61" t="str">
        <f>IF(Table1[[#This Row],[Age]]&lt;25,"18-24",
IF(Table1[[#This Row],[Age]]&lt;35,"25-34",
IF(Table1[[#This Row],[Age]]&lt;45,"35-44","45+")))</f>
        <v>35-44</v>
      </c>
    </row>
    <row r="62" spans="1:15" x14ac:dyDescent="0.25">
      <c r="A62" t="s">
        <v>71</v>
      </c>
      <c r="B62" s="4">
        <v>45307</v>
      </c>
      <c r="D62">
        <v>44</v>
      </c>
      <c r="E62" t="s">
        <v>912</v>
      </c>
      <c r="F62" t="s">
        <v>918</v>
      </c>
      <c r="G62" t="s">
        <v>921</v>
      </c>
      <c r="H62">
        <v>21714.6</v>
      </c>
      <c r="I62">
        <v>13</v>
      </c>
      <c r="J62">
        <v>93</v>
      </c>
      <c r="K62" t="s">
        <v>923</v>
      </c>
      <c r="L62" t="str">
        <f>IF(ISBLANK(Table1[[#This Row],[CancelDate]]),"Active","Churned")</f>
        <v>Active</v>
      </c>
      <c r="M62">
        <f ca="1">IF(ISBLANK(Table1[[#This Row],[CancelDate]]),DATEDIF(Table1[[#This Row],[JoinDate]],TODAY(),"M"),DATEDIF(Table1[[#This Row],[JoinDate]],Table1[[#This Row],[CancelDate]],"M"))</f>
        <v>26</v>
      </c>
      <c r="N62" t="str">
        <f>IF(Table1[[#This Row],[EngagementScore]]&lt;=40,"Low",IF(Table1[[#This Row],[EngagementScore]]&lt;=70,"Medium","High"))</f>
        <v>High</v>
      </c>
      <c r="O62" t="str">
        <f>IF(Table1[[#This Row],[Age]]&lt;25,"18-24",
IF(Table1[[#This Row],[Age]]&lt;35,"25-34",
IF(Table1[[#This Row],[Age]]&lt;45,"35-44","45+")))</f>
        <v>35-44</v>
      </c>
    </row>
    <row r="63" spans="1:15" x14ac:dyDescent="0.25">
      <c r="A63" t="s">
        <v>72</v>
      </c>
      <c r="B63" s="4">
        <v>45365</v>
      </c>
      <c r="C63" s="1">
        <v>45406</v>
      </c>
      <c r="D63">
        <v>38</v>
      </c>
      <c r="E63" t="s">
        <v>911</v>
      </c>
      <c r="F63" t="s">
        <v>917</v>
      </c>
      <c r="G63" t="s">
        <v>920</v>
      </c>
      <c r="H63">
        <v>2845.03</v>
      </c>
      <c r="I63">
        <v>2</v>
      </c>
      <c r="J63">
        <v>20</v>
      </c>
      <c r="K63" t="s">
        <v>913</v>
      </c>
      <c r="L63" t="str">
        <f>IF(ISBLANK(Table1[[#This Row],[CancelDate]]),"Active","Churned")</f>
        <v>Churned</v>
      </c>
      <c r="M63">
        <f ca="1">IF(ISBLANK(Table1[[#This Row],[CancelDate]]),DATEDIF(Table1[[#This Row],[JoinDate]],TODAY(),"M"),DATEDIF(Table1[[#This Row],[JoinDate]],Table1[[#This Row],[CancelDate]],"M"))</f>
        <v>1</v>
      </c>
      <c r="N63" t="str">
        <f>IF(Table1[[#This Row],[EngagementScore]]&lt;=40,"Low",IF(Table1[[#This Row],[EngagementScore]]&lt;=70,"Medium","High"))</f>
        <v>Low</v>
      </c>
      <c r="O63" t="str">
        <f>IF(Table1[[#This Row],[Age]]&lt;25,"18-24",
IF(Table1[[#This Row],[Age]]&lt;35,"25-34",
IF(Table1[[#This Row],[Age]]&lt;45,"35-44","45+")))</f>
        <v>35-44</v>
      </c>
    </row>
    <row r="64" spans="1:15" x14ac:dyDescent="0.25">
      <c r="A64" t="s">
        <v>73</v>
      </c>
      <c r="B64" s="4">
        <v>45010</v>
      </c>
      <c r="D64">
        <v>50</v>
      </c>
      <c r="E64" t="s">
        <v>911</v>
      </c>
      <c r="F64" t="s">
        <v>914</v>
      </c>
      <c r="G64" t="s">
        <v>922</v>
      </c>
      <c r="H64">
        <v>21579.17</v>
      </c>
      <c r="I64">
        <v>25</v>
      </c>
      <c r="J64">
        <v>73</v>
      </c>
      <c r="K64" t="s">
        <v>925</v>
      </c>
      <c r="L64" t="str">
        <f>IF(ISBLANK(Table1[[#This Row],[CancelDate]]),"Active","Churned")</f>
        <v>Active</v>
      </c>
      <c r="M64">
        <f ca="1">IF(ISBLANK(Table1[[#This Row],[CancelDate]]),DATEDIF(Table1[[#This Row],[JoinDate]],TODAY(),"M"),DATEDIF(Table1[[#This Row],[JoinDate]],Table1[[#This Row],[CancelDate]],"M"))</f>
        <v>36</v>
      </c>
      <c r="N64" t="str">
        <f>IF(Table1[[#This Row],[EngagementScore]]&lt;=40,"Low",IF(Table1[[#This Row],[EngagementScore]]&lt;=70,"Medium","High"))</f>
        <v>High</v>
      </c>
      <c r="O64" t="str">
        <f>IF(Table1[[#This Row],[Age]]&lt;25,"18-24",
IF(Table1[[#This Row],[Age]]&lt;35,"25-34",
IF(Table1[[#This Row],[Age]]&lt;45,"35-44","45+")))</f>
        <v>45+</v>
      </c>
    </row>
    <row r="65" spans="1:15" x14ac:dyDescent="0.25">
      <c r="A65" t="s">
        <v>74</v>
      </c>
      <c r="B65" s="4">
        <v>44879</v>
      </c>
      <c r="C65" s="1">
        <v>45169</v>
      </c>
      <c r="D65">
        <v>56</v>
      </c>
      <c r="E65" t="s">
        <v>912</v>
      </c>
      <c r="F65" t="s">
        <v>918</v>
      </c>
      <c r="G65" t="s">
        <v>920</v>
      </c>
      <c r="H65">
        <v>3885.01</v>
      </c>
      <c r="I65">
        <v>6</v>
      </c>
      <c r="J65">
        <v>37</v>
      </c>
      <c r="K65" t="s">
        <v>924</v>
      </c>
      <c r="L65" t="str">
        <f>IF(ISBLANK(Table1[[#This Row],[CancelDate]]),"Active","Churned")</f>
        <v>Churned</v>
      </c>
      <c r="M65">
        <f ca="1">IF(ISBLANK(Table1[[#This Row],[CancelDate]]),DATEDIF(Table1[[#This Row],[JoinDate]],TODAY(),"M"),DATEDIF(Table1[[#This Row],[JoinDate]],Table1[[#This Row],[CancelDate]],"M"))</f>
        <v>9</v>
      </c>
      <c r="N65" t="str">
        <f>IF(Table1[[#This Row],[EngagementScore]]&lt;=40,"Low",IF(Table1[[#This Row],[EngagementScore]]&lt;=70,"Medium","High"))</f>
        <v>Low</v>
      </c>
      <c r="O65" t="str">
        <f>IF(Table1[[#This Row],[Age]]&lt;25,"18-24",
IF(Table1[[#This Row],[Age]]&lt;35,"25-34",
IF(Table1[[#This Row],[Age]]&lt;45,"35-44","45+")))</f>
        <v>45+</v>
      </c>
    </row>
    <row r="66" spans="1:15" x14ac:dyDescent="0.25">
      <c r="A66" t="s">
        <v>75</v>
      </c>
      <c r="B66" s="4">
        <v>44953</v>
      </c>
      <c r="C66" s="1">
        <v>45181</v>
      </c>
      <c r="D66">
        <v>46</v>
      </c>
      <c r="E66" t="s">
        <v>911</v>
      </c>
      <c r="F66" t="s">
        <v>919</v>
      </c>
      <c r="G66" t="s">
        <v>922</v>
      </c>
      <c r="H66">
        <v>14333.06</v>
      </c>
      <c r="I66">
        <v>9</v>
      </c>
      <c r="J66">
        <v>55</v>
      </c>
      <c r="K66" t="s">
        <v>913</v>
      </c>
      <c r="L66" t="str">
        <f>IF(ISBLANK(Table1[[#This Row],[CancelDate]]),"Active","Churned")</f>
        <v>Churned</v>
      </c>
      <c r="M66">
        <f ca="1">IF(ISBLANK(Table1[[#This Row],[CancelDate]]),DATEDIF(Table1[[#This Row],[JoinDate]],TODAY(),"M"),DATEDIF(Table1[[#This Row],[JoinDate]],Table1[[#This Row],[CancelDate]],"M"))</f>
        <v>7</v>
      </c>
      <c r="N66" t="str">
        <f>IF(Table1[[#This Row],[EngagementScore]]&lt;=40,"Low",IF(Table1[[#This Row],[EngagementScore]]&lt;=70,"Medium","High"))</f>
        <v>Medium</v>
      </c>
      <c r="O66" t="str">
        <f>IF(Table1[[#This Row],[Age]]&lt;25,"18-24",
IF(Table1[[#This Row],[Age]]&lt;35,"25-34",
IF(Table1[[#This Row],[Age]]&lt;45,"35-44","45+")))</f>
        <v>45+</v>
      </c>
    </row>
    <row r="67" spans="1:15" x14ac:dyDescent="0.25">
      <c r="A67" t="s">
        <v>76</v>
      </c>
      <c r="B67" s="4">
        <v>44713</v>
      </c>
      <c r="D67">
        <v>36</v>
      </c>
      <c r="E67" t="s">
        <v>912</v>
      </c>
      <c r="F67" t="s">
        <v>915</v>
      </c>
      <c r="G67" t="s">
        <v>921</v>
      </c>
      <c r="H67">
        <v>6013.98</v>
      </c>
      <c r="I67">
        <v>1</v>
      </c>
      <c r="J67">
        <v>22</v>
      </c>
      <c r="K67" t="s">
        <v>924</v>
      </c>
      <c r="L67" t="str">
        <f>IF(ISBLANK(Table1[[#This Row],[CancelDate]]),"Active","Churned")</f>
        <v>Active</v>
      </c>
      <c r="M67">
        <f ca="1">IF(ISBLANK(Table1[[#This Row],[CancelDate]]),DATEDIF(Table1[[#This Row],[JoinDate]],TODAY(),"M"),DATEDIF(Table1[[#This Row],[JoinDate]],Table1[[#This Row],[CancelDate]],"M"))</f>
        <v>46</v>
      </c>
      <c r="N67" t="str">
        <f>IF(Table1[[#This Row],[EngagementScore]]&lt;=40,"Low",IF(Table1[[#This Row],[EngagementScore]]&lt;=70,"Medium","High"))</f>
        <v>Low</v>
      </c>
      <c r="O67" t="str">
        <f>IF(Table1[[#This Row],[Age]]&lt;25,"18-24",
IF(Table1[[#This Row],[Age]]&lt;35,"25-34",
IF(Table1[[#This Row],[Age]]&lt;45,"35-44","45+")))</f>
        <v>35-44</v>
      </c>
    </row>
    <row r="68" spans="1:15" x14ac:dyDescent="0.25">
      <c r="A68" t="s">
        <v>77</v>
      </c>
      <c r="B68" s="4">
        <v>44654</v>
      </c>
      <c r="D68">
        <v>19</v>
      </c>
      <c r="E68" t="s">
        <v>912</v>
      </c>
      <c r="F68" t="s">
        <v>915</v>
      </c>
      <c r="G68" t="s">
        <v>922</v>
      </c>
      <c r="H68">
        <v>5968.51</v>
      </c>
      <c r="I68">
        <v>6</v>
      </c>
      <c r="J68">
        <v>16</v>
      </c>
      <c r="K68" t="s">
        <v>923</v>
      </c>
      <c r="L68" t="str">
        <f>IF(ISBLANK(Table1[[#This Row],[CancelDate]]),"Active","Churned")</f>
        <v>Active</v>
      </c>
      <c r="M68">
        <f ca="1">IF(ISBLANK(Table1[[#This Row],[CancelDate]]),DATEDIF(Table1[[#This Row],[JoinDate]],TODAY(),"M"),DATEDIF(Table1[[#This Row],[JoinDate]],Table1[[#This Row],[CancelDate]],"M"))</f>
        <v>47</v>
      </c>
      <c r="N68" t="str">
        <f>IF(Table1[[#This Row],[EngagementScore]]&lt;=40,"Low",IF(Table1[[#This Row],[EngagementScore]]&lt;=70,"Medium","High"))</f>
        <v>Low</v>
      </c>
      <c r="O68" t="str">
        <f>IF(Table1[[#This Row],[Age]]&lt;25,"18-24",
IF(Table1[[#This Row],[Age]]&lt;35,"25-34",
IF(Table1[[#This Row],[Age]]&lt;45,"35-44","45+")))</f>
        <v>18-24</v>
      </c>
    </row>
    <row r="69" spans="1:15" x14ac:dyDescent="0.25">
      <c r="A69" t="s">
        <v>78</v>
      </c>
      <c r="B69" s="4">
        <v>45321</v>
      </c>
      <c r="C69" s="1">
        <v>45581</v>
      </c>
      <c r="D69">
        <v>28</v>
      </c>
      <c r="E69" t="s">
        <v>912</v>
      </c>
      <c r="F69" t="s">
        <v>914</v>
      </c>
      <c r="G69" t="s">
        <v>921</v>
      </c>
      <c r="H69">
        <v>3614.35</v>
      </c>
      <c r="I69">
        <v>7</v>
      </c>
      <c r="J69">
        <v>34</v>
      </c>
      <c r="K69" t="s">
        <v>925</v>
      </c>
      <c r="L69" t="str">
        <f>IF(ISBLANK(Table1[[#This Row],[CancelDate]]),"Active","Churned")</f>
        <v>Churned</v>
      </c>
      <c r="M69">
        <f ca="1">IF(ISBLANK(Table1[[#This Row],[CancelDate]]),DATEDIF(Table1[[#This Row],[JoinDate]],TODAY(),"M"),DATEDIF(Table1[[#This Row],[JoinDate]],Table1[[#This Row],[CancelDate]],"M"))</f>
        <v>8</v>
      </c>
      <c r="N69" t="str">
        <f>IF(Table1[[#This Row],[EngagementScore]]&lt;=40,"Low",IF(Table1[[#This Row],[EngagementScore]]&lt;=70,"Medium","High"))</f>
        <v>Low</v>
      </c>
      <c r="O69" t="str">
        <f>IF(Table1[[#This Row],[Age]]&lt;25,"18-24",
IF(Table1[[#This Row],[Age]]&lt;35,"25-34",
IF(Table1[[#This Row],[Age]]&lt;45,"35-44","45+")))</f>
        <v>25-34</v>
      </c>
    </row>
    <row r="70" spans="1:15" x14ac:dyDescent="0.25">
      <c r="A70" t="s">
        <v>79</v>
      </c>
      <c r="B70" s="4">
        <v>44786</v>
      </c>
      <c r="C70" s="1">
        <v>44953</v>
      </c>
      <c r="D70">
        <v>28</v>
      </c>
      <c r="E70" t="s">
        <v>913</v>
      </c>
      <c r="F70" t="s">
        <v>914</v>
      </c>
      <c r="G70" t="s">
        <v>922</v>
      </c>
      <c r="H70">
        <v>7924.1</v>
      </c>
      <c r="I70">
        <v>14</v>
      </c>
      <c r="J70">
        <v>48</v>
      </c>
      <c r="K70" t="s">
        <v>925</v>
      </c>
      <c r="L70" t="str">
        <f>IF(ISBLANK(Table1[[#This Row],[CancelDate]]),"Active","Churned")</f>
        <v>Churned</v>
      </c>
      <c r="M70">
        <f ca="1">IF(ISBLANK(Table1[[#This Row],[CancelDate]]),DATEDIF(Table1[[#This Row],[JoinDate]],TODAY(),"M"),DATEDIF(Table1[[#This Row],[JoinDate]],Table1[[#This Row],[CancelDate]],"M"))</f>
        <v>5</v>
      </c>
      <c r="N70" t="str">
        <f>IF(Table1[[#This Row],[EngagementScore]]&lt;=40,"Low",IF(Table1[[#This Row],[EngagementScore]]&lt;=70,"Medium","High"))</f>
        <v>Medium</v>
      </c>
      <c r="O70" t="str">
        <f>IF(Table1[[#This Row],[Age]]&lt;25,"18-24",
IF(Table1[[#This Row],[Age]]&lt;35,"25-34",
IF(Table1[[#This Row],[Age]]&lt;45,"35-44","45+")))</f>
        <v>25-34</v>
      </c>
    </row>
    <row r="71" spans="1:15" x14ac:dyDescent="0.25">
      <c r="A71" t="s">
        <v>80</v>
      </c>
      <c r="B71" s="4">
        <v>45223</v>
      </c>
      <c r="C71" s="1">
        <v>45309</v>
      </c>
      <c r="D71">
        <v>58</v>
      </c>
      <c r="E71" t="s">
        <v>911</v>
      </c>
      <c r="F71" t="s">
        <v>916</v>
      </c>
      <c r="G71" t="s">
        <v>921</v>
      </c>
      <c r="H71">
        <v>4544.8500000000004</v>
      </c>
      <c r="I71">
        <v>4</v>
      </c>
      <c r="J71">
        <v>20</v>
      </c>
      <c r="K71" t="s">
        <v>923</v>
      </c>
      <c r="L71" t="str">
        <f>IF(ISBLANK(Table1[[#This Row],[CancelDate]]),"Active","Churned")</f>
        <v>Churned</v>
      </c>
      <c r="M71">
        <f ca="1">IF(ISBLANK(Table1[[#This Row],[CancelDate]]),DATEDIF(Table1[[#This Row],[JoinDate]],TODAY(),"M"),DATEDIF(Table1[[#This Row],[JoinDate]],Table1[[#This Row],[CancelDate]],"M"))</f>
        <v>2</v>
      </c>
      <c r="N71" t="str">
        <f>IF(Table1[[#This Row],[EngagementScore]]&lt;=40,"Low",IF(Table1[[#This Row],[EngagementScore]]&lt;=70,"Medium","High"))</f>
        <v>Low</v>
      </c>
      <c r="O71" t="str">
        <f>IF(Table1[[#This Row],[Age]]&lt;25,"18-24",
IF(Table1[[#This Row],[Age]]&lt;35,"25-34",
IF(Table1[[#This Row],[Age]]&lt;45,"35-44","45+")))</f>
        <v>45+</v>
      </c>
    </row>
    <row r="72" spans="1:15" x14ac:dyDescent="0.25">
      <c r="A72" t="s">
        <v>81</v>
      </c>
      <c r="B72" s="4">
        <v>44918</v>
      </c>
      <c r="C72" s="1">
        <v>45063</v>
      </c>
      <c r="D72">
        <v>20</v>
      </c>
      <c r="E72" t="s">
        <v>911</v>
      </c>
      <c r="F72" t="s">
        <v>918</v>
      </c>
      <c r="G72" t="s">
        <v>921</v>
      </c>
      <c r="H72">
        <v>2323.37</v>
      </c>
      <c r="I72">
        <v>2</v>
      </c>
      <c r="J72">
        <v>36</v>
      </c>
      <c r="K72" t="s">
        <v>925</v>
      </c>
      <c r="L72" t="str">
        <f>IF(ISBLANK(Table1[[#This Row],[CancelDate]]),"Active","Churned")</f>
        <v>Churned</v>
      </c>
      <c r="M72">
        <f ca="1">IF(ISBLANK(Table1[[#This Row],[CancelDate]]),DATEDIF(Table1[[#This Row],[JoinDate]],TODAY(),"M"),DATEDIF(Table1[[#This Row],[JoinDate]],Table1[[#This Row],[CancelDate]],"M"))</f>
        <v>4</v>
      </c>
      <c r="N72" t="str">
        <f>IF(Table1[[#This Row],[EngagementScore]]&lt;=40,"Low",IF(Table1[[#This Row],[EngagementScore]]&lt;=70,"Medium","High"))</f>
        <v>Low</v>
      </c>
      <c r="O72" t="str">
        <f>IF(Table1[[#This Row],[Age]]&lt;25,"18-24",
IF(Table1[[#This Row],[Age]]&lt;35,"25-34",
IF(Table1[[#This Row],[Age]]&lt;45,"35-44","45+")))</f>
        <v>18-24</v>
      </c>
    </row>
    <row r="73" spans="1:15" x14ac:dyDescent="0.25">
      <c r="A73" t="s">
        <v>82</v>
      </c>
      <c r="B73" s="4">
        <v>45043</v>
      </c>
      <c r="D73">
        <v>49</v>
      </c>
      <c r="E73" t="s">
        <v>911</v>
      </c>
      <c r="F73" t="s">
        <v>914</v>
      </c>
      <c r="G73" t="s">
        <v>921</v>
      </c>
      <c r="H73">
        <v>10435.5</v>
      </c>
      <c r="I73">
        <v>14</v>
      </c>
      <c r="J73">
        <v>67</v>
      </c>
      <c r="K73" t="s">
        <v>923</v>
      </c>
      <c r="L73" t="str">
        <f>IF(ISBLANK(Table1[[#This Row],[CancelDate]]),"Active","Churned")</f>
        <v>Active</v>
      </c>
      <c r="M73">
        <f ca="1">IF(ISBLANK(Table1[[#This Row],[CancelDate]]),DATEDIF(Table1[[#This Row],[JoinDate]],TODAY(),"M"),DATEDIF(Table1[[#This Row],[JoinDate]],Table1[[#This Row],[CancelDate]],"M"))</f>
        <v>35</v>
      </c>
      <c r="N73" t="str">
        <f>IF(Table1[[#This Row],[EngagementScore]]&lt;=40,"Low",IF(Table1[[#This Row],[EngagementScore]]&lt;=70,"Medium","High"))</f>
        <v>Medium</v>
      </c>
      <c r="O73" t="str">
        <f>IF(Table1[[#This Row],[Age]]&lt;25,"18-24",
IF(Table1[[#This Row],[Age]]&lt;35,"25-34",
IF(Table1[[#This Row],[Age]]&lt;45,"35-44","45+")))</f>
        <v>45+</v>
      </c>
    </row>
    <row r="74" spans="1:15" x14ac:dyDescent="0.25">
      <c r="A74" t="s">
        <v>83</v>
      </c>
      <c r="B74" s="4">
        <v>45141</v>
      </c>
      <c r="D74">
        <v>57</v>
      </c>
      <c r="E74" t="s">
        <v>911</v>
      </c>
      <c r="F74" t="s">
        <v>917</v>
      </c>
      <c r="G74" t="s">
        <v>920</v>
      </c>
      <c r="H74">
        <v>18253.53</v>
      </c>
      <c r="I74">
        <v>28</v>
      </c>
      <c r="J74">
        <v>91</v>
      </c>
      <c r="K74" t="s">
        <v>923</v>
      </c>
      <c r="L74" t="str">
        <f>IF(ISBLANK(Table1[[#This Row],[CancelDate]]),"Active","Churned")</f>
        <v>Active</v>
      </c>
      <c r="M74">
        <f ca="1">IF(ISBLANK(Table1[[#This Row],[CancelDate]]),DATEDIF(Table1[[#This Row],[JoinDate]],TODAY(),"M"),DATEDIF(Table1[[#This Row],[JoinDate]],Table1[[#This Row],[CancelDate]],"M"))</f>
        <v>31</v>
      </c>
      <c r="N74" t="str">
        <f>IF(Table1[[#This Row],[EngagementScore]]&lt;=40,"Low",IF(Table1[[#This Row],[EngagementScore]]&lt;=70,"Medium","High"))</f>
        <v>High</v>
      </c>
      <c r="O74" t="str">
        <f>IF(Table1[[#This Row],[Age]]&lt;25,"18-24",
IF(Table1[[#This Row],[Age]]&lt;35,"25-34",
IF(Table1[[#This Row],[Age]]&lt;45,"35-44","45+")))</f>
        <v>45+</v>
      </c>
    </row>
    <row r="75" spans="1:15" x14ac:dyDescent="0.25">
      <c r="A75" t="s">
        <v>84</v>
      </c>
      <c r="B75" s="4">
        <v>45453</v>
      </c>
      <c r="C75" s="1">
        <v>45647</v>
      </c>
      <c r="D75">
        <v>49</v>
      </c>
      <c r="E75" t="s">
        <v>912</v>
      </c>
      <c r="F75" t="s">
        <v>914</v>
      </c>
      <c r="G75" t="s">
        <v>921</v>
      </c>
      <c r="H75">
        <v>11555.52</v>
      </c>
      <c r="I75">
        <v>13</v>
      </c>
      <c r="J75">
        <v>42</v>
      </c>
      <c r="K75" t="s">
        <v>924</v>
      </c>
      <c r="L75" t="str">
        <f>IF(ISBLANK(Table1[[#This Row],[CancelDate]]),"Active","Churned")</f>
        <v>Churned</v>
      </c>
      <c r="M75">
        <f ca="1">IF(ISBLANK(Table1[[#This Row],[CancelDate]]),DATEDIF(Table1[[#This Row],[JoinDate]],TODAY(),"M"),DATEDIF(Table1[[#This Row],[JoinDate]],Table1[[#This Row],[CancelDate]],"M"))</f>
        <v>6</v>
      </c>
      <c r="N75" t="str">
        <f>IF(Table1[[#This Row],[EngagementScore]]&lt;=40,"Low",IF(Table1[[#This Row],[EngagementScore]]&lt;=70,"Medium","High"))</f>
        <v>Medium</v>
      </c>
      <c r="O75" t="str">
        <f>IF(Table1[[#This Row],[Age]]&lt;25,"18-24",
IF(Table1[[#This Row],[Age]]&lt;35,"25-34",
IF(Table1[[#This Row],[Age]]&lt;45,"35-44","45+")))</f>
        <v>45+</v>
      </c>
    </row>
    <row r="76" spans="1:15" x14ac:dyDescent="0.25">
      <c r="A76" t="s">
        <v>85</v>
      </c>
      <c r="B76" s="4">
        <v>44781</v>
      </c>
      <c r="D76">
        <v>33</v>
      </c>
      <c r="E76" t="s">
        <v>911</v>
      </c>
      <c r="F76" t="s">
        <v>915</v>
      </c>
      <c r="G76" t="s">
        <v>921</v>
      </c>
      <c r="H76">
        <v>15798.54</v>
      </c>
      <c r="I76">
        <v>12</v>
      </c>
      <c r="J76">
        <v>94</v>
      </c>
      <c r="K76" t="s">
        <v>924</v>
      </c>
      <c r="L76" t="str">
        <f>IF(ISBLANK(Table1[[#This Row],[CancelDate]]),"Active","Churned")</f>
        <v>Active</v>
      </c>
      <c r="M76">
        <f ca="1">IF(ISBLANK(Table1[[#This Row],[CancelDate]]),DATEDIF(Table1[[#This Row],[JoinDate]],TODAY(),"M"),DATEDIF(Table1[[#This Row],[JoinDate]],Table1[[#This Row],[CancelDate]],"M"))</f>
        <v>43</v>
      </c>
      <c r="N76" t="str">
        <f>IF(Table1[[#This Row],[EngagementScore]]&lt;=40,"Low",IF(Table1[[#This Row],[EngagementScore]]&lt;=70,"Medium","High"))</f>
        <v>High</v>
      </c>
      <c r="O76" t="str">
        <f>IF(Table1[[#This Row],[Age]]&lt;25,"18-24",
IF(Table1[[#This Row],[Age]]&lt;35,"25-34",
IF(Table1[[#This Row],[Age]]&lt;45,"35-44","45+")))</f>
        <v>25-34</v>
      </c>
    </row>
    <row r="77" spans="1:15" x14ac:dyDescent="0.25">
      <c r="A77" t="s">
        <v>86</v>
      </c>
      <c r="B77" s="4">
        <v>45043</v>
      </c>
      <c r="C77" s="1">
        <v>45320</v>
      </c>
      <c r="D77">
        <v>24</v>
      </c>
      <c r="E77" t="s">
        <v>911</v>
      </c>
      <c r="F77" t="s">
        <v>916</v>
      </c>
      <c r="G77" t="s">
        <v>920</v>
      </c>
      <c r="H77">
        <v>12433.49</v>
      </c>
      <c r="I77">
        <v>6</v>
      </c>
      <c r="J77">
        <v>53</v>
      </c>
      <c r="K77" t="s">
        <v>923</v>
      </c>
      <c r="L77" t="str">
        <f>IF(ISBLANK(Table1[[#This Row],[CancelDate]]),"Active","Churned")</f>
        <v>Churned</v>
      </c>
      <c r="M77">
        <f ca="1">IF(ISBLANK(Table1[[#This Row],[CancelDate]]),DATEDIF(Table1[[#This Row],[JoinDate]],TODAY(),"M"),DATEDIF(Table1[[#This Row],[JoinDate]],Table1[[#This Row],[CancelDate]],"M"))</f>
        <v>9</v>
      </c>
      <c r="N77" t="str">
        <f>IF(Table1[[#This Row],[EngagementScore]]&lt;=40,"Low",IF(Table1[[#This Row],[EngagementScore]]&lt;=70,"Medium","High"))</f>
        <v>Medium</v>
      </c>
      <c r="O77" t="str">
        <f>IF(Table1[[#This Row],[Age]]&lt;25,"18-24",
IF(Table1[[#This Row],[Age]]&lt;35,"25-34",
IF(Table1[[#This Row],[Age]]&lt;45,"35-44","45+")))</f>
        <v>18-24</v>
      </c>
    </row>
    <row r="78" spans="1:15" x14ac:dyDescent="0.25">
      <c r="A78" t="s">
        <v>87</v>
      </c>
      <c r="B78" s="4">
        <v>44581</v>
      </c>
      <c r="D78">
        <v>38</v>
      </c>
      <c r="E78" t="s">
        <v>912</v>
      </c>
      <c r="F78" t="s">
        <v>914</v>
      </c>
      <c r="G78" t="s">
        <v>921</v>
      </c>
      <c r="H78">
        <v>24425.18</v>
      </c>
      <c r="I78">
        <v>28</v>
      </c>
      <c r="J78">
        <v>81</v>
      </c>
      <c r="K78" t="s">
        <v>923</v>
      </c>
      <c r="L78" t="str">
        <f>IF(ISBLANK(Table1[[#This Row],[CancelDate]]),"Active","Churned")</f>
        <v>Active</v>
      </c>
      <c r="M78">
        <f ca="1">IF(ISBLANK(Table1[[#This Row],[CancelDate]]),DATEDIF(Table1[[#This Row],[JoinDate]],TODAY(),"M"),DATEDIF(Table1[[#This Row],[JoinDate]],Table1[[#This Row],[CancelDate]],"M"))</f>
        <v>50</v>
      </c>
      <c r="N78" t="str">
        <f>IF(Table1[[#This Row],[EngagementScore]]&lt;=40,"Low",IF(Table1[[#This Row],[EngagementScore]]&lt;=70,"Medium","High"))</f>
        <v>High</v>
      </c>
      <c r="O78" t="str">
        <f>IF(Table1[[#This Row],[Age]]&lt;25,"18-24",
IF(Table1[[#This Row],[Age]]&lt;35,"25-34",
IF(Table1[[#This Row],[Age]]&lt;45,"35-44","45+")))</f>
        <v>35-44</v>
      </c>
    </row>
    <row r="79" spans="1:15" x14ac:dyDescent="0.25">
      <c r="A79" t="s">
        <v>88</v>
      </c>
      <c r="B79" s="4">
        <v>45078</v>
      </c>
      <c r="D79">
        <v>40</v>
      </c>
      <c r="E79" t="s">
        <v>912</v>
      </c>
      <c r="F79" t="s">
        <v>914</v>
      </c>
      <c r="G79" t="s">
        <v>921</v>
      </c>
      <c r="H79">
        <v>4676.78</v>
      </c>
      <c r="I79">
        <v>6</v>
      </c>
      <c r="J79">
        <v>28</v>
      </c>
      <c r="K79" t="s">
        <v>923</v>
      </c>
      <c r="L79" t="str">
        <f>IF(ISBLANK(Table1[[#This Row],[CancelDate]]),"Active","Churned")</f>
        <v>Active</v>
      </c>
      <c r="M79">
        <f ca="1">IF(ISBLANK(Table1[[#This Row],[CancelDate]]),DATEDIF(Table1[[#This Row],[JoinDate]],TODAY(),"M"),DATEDIF(Table1[[#This Row],[JoinDate]],Table1[[#This Row],[CancelDate]],"M"))</f>
        <v>34</v>
      </c>
      <c r="N79" t="str">
        <f>IF(Table1[[#This Row],[EngagementScore]]&lt;=40,"Low",IF(Table1[[#This Row],[EngagementScore]]&lt;=70,"Medium","High"))</f>
        <v>Low</v>
      </c>
      <c r="O79" t="str">
        <f>IF(Table1[[#This Row],[Age]]&lt;25,"18-24",
IF(Table1[[#This Row],[Age]]&lt;35,"25-34",
IF(Table1[[#This Row],[Age]]&lt;45,"35-44","45+")))</f>
        <v>35-44</v>
      </c>
    </row>
    <row r="80" spans="1:15" x14ac:dyDescent="0.25">
      <c r="A80" t="s">
        <v>89</v>
      </c>
      <c r="B80" s="4">
        <v>45349</v>
      </c>
      <c r="C80" s="1">
        <v>45507</v>
      </c>
      <c r="D80">
        <v>26</v>
      </c>
      <c r="E80" t="s">
        <v>912</v>
      </c>
      <c r="F80" t="s">
        <v>918</v>
      </c>
      <c r="G80" t="s">
        <v>921</v>
      </c>
      <c r="H80">
        <v>5062.79</v>
      </c>
      <c r="I80">
        <v>1</v>
      </c>
      <c r="J80">
        <v>10</v>
      </c>
      <c r="K80" t="s">
        <v>923</v>
      </c>
      <c r="L80" t="str">
        <f>IF(ISBLANK(Table1[[#This Row],[CancelDate]]),"Active","Churned")</f>
        <v>Churned</v>
      </c>
      <c r="M80">
        <f ca="1">IF(ISBLANK(Table1[[#This Row],[CancelDate]]),DATEDIF(Table1[[#This Row],[JoinDate]],TODAY(),"M"),DATEDIF(Table1[[#This Row],[JoinDate]],Table1[[#This Row],[CancelDate]],"M"))</f>
        <v>5</v>
      </c>
      <c r="N80" t="str">
        <f>IF(Table1[[#This Row],[EngagementScore]]&lt;=40,"Low",IF(Table1[[#This Row],[EngagementScore]]&lt;=70,"Medium","High"))</f>
        <v>Low</v>
      </c>
      <c r="O80" t="str">
        <f>IF(Table1[[#This Row],[Age]]&lt;25,"18-24",
IF(Table1[[#This Row],[Age]]&lt;35,"25-34",
IF(Table1[[#This Row],[Age]]&lt;45,"35-44","45+")))</f>
        <v>25-34</v>
      </c>
    </row>
    <row r="81" spans="1:15" x14ac:dyDescent="0.25">
      <c r="A81" t="s">
        <v>90</v>
      </c>
      <c r="B81" s="4">
        <v>44595</v>
      </c>
      <c r="D81">
        <v>35</v>
      </c>
      <c r="E81" t="s">
        <v>912</v>
      </c>
      <c r="F81" t="s">
        <v>915</v>
      </c>
      <c r="G81" t="s">
        <v>922</v>
      </c>
      <c r="H81">
        <v>7944.92</v>
      </c>
      <c r="I81">
        <v>2</v>
      </c>
      <c r="J81">
        <v>22</v>
      </c>
      <c r="K81" t="s">
        <v>925</v>
      </c>
      <c r="L81" t="str">
        <f>IF(ISBLANK(Table1[[#This Row],[CancelDate]]),"Active","Churned")</f>
        <v>Active</v>
      </c>
      <c r="M81">
        <f ca="1">IF(ISBLANK(Table1[[#This Row],[CancelDate]]),DATEDIF(Table1[[#This Row],[JoinDate]],TODAY(),"M"),DATEDIF(Table1[[#This Row],[JoinDate]],Table1[[#This Row],[CancelDate]],"M"))</f>
        <v>49</v>
      </c>
      <c r="N81" t="str">
        <f>IF(Table1[[#This Row],[EngagementScore]]&lt;=40,"Low",IF(Table1[[#This Row],[EngagementScore]]&lt;=70,"Medium","High"))</f>
        <v>Low</v>
      </c>
      <c r="O81" t="str">
        <f>IF(Table1[[#This Row],[Age]]&lt;25,"18-24",
IF(Table1[[#This Row],[Age]]&lt;35,"25-34",
IF(Table1[[#This Row],[Age]]&lt;45,"35-44","45+")))</f>
        <v>35-44</v>
      </c>
    </row>
    <row r="82" spans="1:15" x14ac:dyDescent="0.25">
      <c r="A82" t="s">
        <v>91</v>
      </c>
      <c r="B82" s="4">
        <v>44685</v>
      </c>
      <c r="D82">
        <v>49</v>
      </c>
      <c r="E82" t="s">
        <v>912</v>
      </c>
      <c r="F82" t="s">
        <v>916</v>
      </c>
      <c r="G82" t="s">
        <v>920</v>
      </c>
      <c r="H82">
        <v>18191.68</v>
      </c>
      <c r="I82">
        <v>15</v>
      </c>
      <c r="J82">
        <v>87</v>
      </c>
      <c r="K82" t="s">
        <v>925</v>
      </c>
      <c r="L82" t="str">
        <f>IF(ISBLANK(Table1[[#This Row],[CancelDate]]),"Active","Churned")</f>
        <v>Active</v>
      </c>
      <c r="M82">
        <f ca="1">IF(ISBLANK(Table1[[#This Row],[CancelDate]]),DATEDIF(Table1[[#This Row],[JoinDate]],TODAY(),"M"),DATEDIF(Table1[[#This Row],[JoinDate]],Table1[[#This Row],[CancelDate]],"M"))</f>
        <v>46</v>
      </c>
      <c r="N82" t="str">
        <f>IF(Table1[[#This Row],[EngagementScore]]&lt;=40,"Low",IF(Table1[[#This Row],[EngagementScore]]&lt;=70,"Medium","High"))</f>
        <v>High</v>
      </c>
      <c r="O82" t="str">
        <f>IF(Table1[[#This Row],[Age]]&lt;25,"18-24",
IF(Table1[[#This Row],[Age]]&lt;35,"25-34",
IF(Table1[[#This Row],[Age]]&lt;45,"35-44","45+")))</f>
        <v>45+</v>
      </c>
    </row>
    <row r="83" spans="1:15" x14ac:dyDescent="0.25">
      <c r="A83" t="s">
        <v>92</v>
      </c>
      <c r="B83" s="4">
        <v>44848</v>
      </c>
      <c r="D83">
        <v>25</v>
      </c>
      <c r="E83" t="s">
        <v>911</v>
      </c>
      <c r="F83" t="s">
        <v>918</v>
      </c>
      <c r="G83" t="s">
        <v>921</v>
      </c>
      <c r="H83">
        <v>14065.07</v>
      </c>
      <c r="I83">
        <v>8</v>
      </c>
      <c r="J83">
        <v>59</v>
      </c>
      <c r="K83" t="s">
        <v>923</v>
      </c>
      <c r="L83" t="str">
        <f>IF(ISBLANK(Table1[[#This Row],[CancelDate]]),"Active","Churned")</f>
        <v>Active</v>
      </c>
      <c r="M83">
        <f ca="1">IF(ISBLANK(Table1[[#This Row],[CancelDate]]),DATEDIF(Table1[[#This Row],[JoinDate]],TODAY(),"M"),DATEDIF(Table1[[#This Row],[JoinDate]],Table1[[#This Row],[CancelDate]],"M"))</f>
        <v>41</v>
      </c>
      <c r="N83" t="str">
        <f>IF(Table1[[#This Row],[EngagementScore]]&lt;=40,"Low",IF(Table1[[#This Row],[EngagementScore]]&lt;=70,"Medium","High"))</f>
        <v>Medium</v>
      </c>
      <c r="O83" t="str">
        <f>IF(Table1[[#This Row],[Age]]&lt;25,"18-24",
IF(Table1[[#This Row],[Age]]&lt;35,"25-34",
IF(Table1[[#This Row],[Age]]&lt;45,"35-44","45+")))</f>
        <v>25-34</v>
      </c>
    </row>
    <row r="84" spans="1:15" x14ac:dyDescent="0.25">
      <c r="A84" t="s">
        <v>93</v>
      </c>
      <c r="B84" s="4">
        <v>45259</v>
      </c>
      <c r="D84">
        <v>27</v>
      </c>
      <c r="E84" t="s">
        <v>911</v>
      </c>
      <c r="F84" t="s">
        <v>917</v>
      </c>
      <c r="G84" t="s">
        <v>921</v>
      </c>
      <c r="H84">
        <v>14308.36</v>
      </c>
      <c r="I84">
        <v>12</v>
      </c>
      <c r="J84">
        <v>61</v>
      </c>
      <c r="K84" t="s">
        <v>925</v>
      </c>
      <c r="L84" t="str">
        <f>IF(ISBLANK(Table1[[#This Row],[CancelDate]]),"Active","Churned")</f>
        <v>Active</v>
      </c>
      <c r="M84">
        <f ca="1">IF(ISBLANK(Table1[[#This Row],[CancelDate]]),DATEDIF(Table1[[#This Row],[JoinDate]],TODAY(),"M"),DATEDIF(Table1[[#This Row],[JoinDate]],Table1[[#This Row],[CancelDate]],"M"))</f>
        <v>28</v>
      </c>
      <c r="N84" t="str">
        <f>IF(Table1[[#This Row],[EngagementScore]]&lt;=40,"Low",IF(Table1[[#This Row],[EngagementScore]]&lt;=70,"Medium","High"))</f>
        <v>Medium</v>
      </c>
      <c r="O84" t="str">
        <f>IF(Table1[[#This Row],[Age]]&lt;25,"18-24",
IF(Table1[[#This Row],[Age]]&lt;35,"25-34",
IF(Table1[[#This Row],[Age]]&lt;45,"35-44","45+")))</f>
        <v>25-34</v>
      </c>
    </row>
    <row r="85" spans="1:15" x14ac:dyDescent="0.25">
      <c r="A85" t="s">
        <v>94</v>
      </c>
      <c r="B85" s="4">
        <v>45303</v>
      </c>
      <c r="C85" s="1">
        <v>45602</v>
      </c>
      <c r="D85">
        <v>45</v>
      </c>
      <c r="E85" t="s">
        <v>912</v>
      </c>
      <c r="F85" t="s">
        <v>915</v>
      </c>
      <c r="G85" t="s">
        <v>920</v>
      </c>
      <c r="H85">
        <v>2476.1799999999998</v>
      </c>
      <c r="I85">
        <v>3</v>
      </c>
      <c r="J85">
        <v>26</v>
      </c>
      <c r="K85" t="s">
        <v>925</v>
      </c>
      <c r="L85" t="str">
        <f>IF(ISBLANK(Table1[[#This Row],[CancelDate]]),"Active","Churned")</f>
        <v>Churned</v>
      </c>
      <c r="M85">
        <f ca="1">IF(ISBLANK(Table1[[#This Row],[CancelDate]]),DATEDIF(Table1[[#This Row],[JoinDate]],TODAY(),"M"),DATEDIF(Table1[[#This Row],[JoinDate]],Table1[[#This Row],[CancelDate]],"M"))</f>
        <v>9</v>
      </c>
      <c r="N85" t="str">
        <f>IF(Table1[[#This Row],[EngagementScore]]&lt;=40,"Low",IF(Table1[[#This Row],[EngagementScore]]&lt;=70,"Medium","High"))</f>
        <v>Low</v>
      </c>
      <c r="O85" t="str">
        <f>IF(Table1[[#This Row],[Age]]&lt;25,"18-24",
IF(Table1[[#This Row],[Age]]&lt;35,"25-34",
IF(Table1[[#This Row],[Age]]&lt;45,"35-44","45+")))</f>
        <v>45+</v>
      </c>
    </row>
    <row r="86" spans="1:15" x14ac:dyDescent="0.25">
      <c r="A86" t="s">
        <v>95</v>
      </c>
      <c r="B86" s="4">
        <v>45403</v>
      </c>
      <c r="D86">
        <v>55</v>
      </c>
      <c r="E86" t="s">
        <v>912</v>
      </c>
      <c r="F86" t="s">
        <v>919</v>
      </c>
      <c r="G86" t="s">
        <v>922</v>
      </c>
      <c r="H86">
        <v>25569.26</v>
      </c>
      <c r="I86">
        <v>18</v>
      </c>
      <c r="J86">
        <v>88</v>
      </c>
      <c r="K86" t="s">
        <v>925</v>
      </c>
      <c r="L86" t="str">
        <f>IF(ISBLANK(Table1[[#This Row],[CancelDate]]),"Active","Churned")</f>
        <v>Active</v>
      </c>
      <c r="M86">
        <f ca="1">IF(ISBLANK(Table1[[#This Row],[CancelDate]]),DATEDIF(Table1[[#This Row],[JoinDate]],TODAY(),"M"),DATEDIF(Table1[[#This Row],[JoinDate]],Table1[[#This Row],[CancelDate]],"M"))</f>
        <v>23</v>
      </c>
      <c r="N86" t="str">
        <f>IF(Table1[[#This Row],[EngagementScore]]&lt;=40,"Low",IF(Table1[[#This Row],[EngagementScore]]&lt;=70,"Medium","High"))</f>
        <v>High</v>
      </c>
      <c r="O86" t="str">
        <f>IF(Table1[[#This Row],[Age]]&lt;25,"18-24",
IF(Table1[[#This Row],[Age]]&lt;35,"25-34",
IF(Table1[[#This Row],[Age]]&lt;45,"35-44","45+")))</f>
        <v>45+</v>
      </c>
    </row>
    <row r="87" spans="1:15" x14ac:dyDescent="0.25">
      <c r="A87" t="s">
        <v>96</v>
      </c>
      <c r="B87" s="4">
        <v>45457</v>
      </c>
      <c r="C87" s="1">
        <v>45708</v>
      </c>
      <c r="D87">
        <v>49</v>
      </c>
      <c r="E87" t="s">
        <v>911</v>
      </c>
      <c r="F87" t="s">
        <v>917</v>
      </c>
      <c r="G87" t="s">
        <v>920</v>
      </c>
      <c r="H87">
        <v>14853.07</v>
      </c>
      <c r="I87">
        <v>10</v>
      </c>
      <c r="J87">
        <v>48</v>
      </c>
      <c r="K87" t="s">
        <v>925</v>
      </c>
      <c r="L87" t="str">
        <f>IF(ISBLANK(Table1[[#This Row],[CancelDate]]),"Active","Churned")</f>
        <v>Churned</v>
      </c>
      <c r="M87">
        <f ca="1">IF(ISBLANK(Table1[[#This Row],[CancelDate]]),DATEDIF(Table1[[#This Row],[JoinDate]],TODAY(),"M"),DATEDIF(Table1[[#This Row],[JoinDate]],Table1[[#This Row],[CancelDate]],"M"))</f>
        <v>8</v>
      </c>
      <c r="N87" t="str">
        <f>IF(Table1[[#This Row],[EngagementScore]]&lt;=40,"Low",IF(Table1[[#This Row],[EngagementScore]]&lt;=70,"Medium","High"))</f>
        <v>Medium</v>
      </c>
      <c r="O87" t="str">
        <f>IF(Table1[[#This Row],[Age]]&lt;25,"18-24",
IF(Table1[[#This Row],[Age]]&lt;35,"25-34",
IF(Table1[[#This Row],[Age]]&lt;45,"35-44","45+")))</f>
        <v>45+</v>
      </c>
    </row>
    <row r="88" spans="1:15" x14ac:dyDescent="0.25">
      <c r="A88" t="s">
        <v>97</v>
      </c>
      <c r="B88" s="4">
        <v>44977</v>
      </c>
      <c r="D88">
        <v>26</v>
      </c>
      <c r="E88" t="s">
        <v>911</v>
      </c>
      <c r="F88" t="s">
        <v>917</v>
      </c>
      <c r="G88" t="s">
        <v>921</v>
      </c>
      <c r="H88">
        <v>12353.83</v>
      </c>
      <c r="I88">
        <v>9</v>
      </c>
      <c r="J88">
        <v>68</v>
      </c>
      <c r="K88" t="s">
        <v>923</v>
      </c>
      <c r="L88" t="str">
        <f>IF(ISBLANK(Table1[[#This Row],[CancelDate]]),"Active","Churned")</f>
        <v>Active</v>
      </c>
      <c r="M88">
        <f ca="1">IF(ISBLANK(Table1[[#This Row],[CancelDate]]),DATEDIF(Table1[[#This Row],[JoinDate]],TODAY(),"M"),DATEDIF(Table1[[#This Row],[JoinDate]],Table1[[#This Row],[CancelDate]],"M"))</f>
        <v>37</v>
      </c>
      <c r="N88" t="str">
        <f>IF(Table1[[#This Row],[EngagementScore]]&lt;=40,"Low",IF(Table1[[#This Row],[EngagementScore]]&lt;=70,"Medium","High"))</f>
        <v>Medium</v>
      </c>
      <c r="O88" t="str">
        <f>IF(Table1[[#This Row],[Age]]&lt;25,"18-24",
IF(Table1[[#This Row],[Age]]&lt;35,"25-34",
IF(Table1[[#This Row],[Age]]&lt;45,"35-44","45+")))</f>
        <v>25-34</v>
      </c>
    </row>
    <row r="89" spans="1:15" x14ac:dyDescent="0.25">
      <c r="A89" t="s">
        <v>98</v>
      </c>
      <c r="B89" s="4">
        <v>44692</v>
      </c>
      <c r="C89" s="1">
        <v>44996</v>
      </c>
      <c r="D89">
        <v>56</v>
      </c>
      <c r="E89" t="s">
        <v>912</v>
      </c>
      <c r="F89" t="s">
        <v>918</v>
      </c>
      <c r="G89" t="s">
        <v>921</v>
      </c>
      <c r="H89">
        <v>2495.09</v>
      </c>
      <c r="I89">
        <v>7</v>
      </c>
      <c r="J89">
        <v>27</v>
      </c>
      <c r="K89" t="s">
        <v>925</v>
      </c>
      <c r="L89" t="str">
        <f>IF(ISBLANK(Table1[[#This Row],[CancelDate]]),"Active","Churned")</f>
        <v>Churned</v>
      </c>
      <c r="M89">
        <f ca="1">IF(ISBLANK(Table1[[#This Row],[CancelDate]]),DATEDIF(Table1[[#This Row],[JoinDate]],TODAY(),"M"),DATEDIF(Table1[[#This Row],[JoinDate]],Table1[[#This Row],[CancelDate]],"M"))</f>
        <v>10</v>
      </c>
      <c r="N89" t="str">
        <f>IF(Table1[[#This Row],[EngagementScore]]&lt;=40,"Low",IF(Table1[[#This Row],[EngagementScore]]&lt;=70,"Medium","High"))</f>
        <v>Low</v>
      </c>
      <c r="O89" t="str">
        <f>IF(Table1[[#This Row],[Age]]&lt;25,"18-24",
IF(Table1[[#This Row],[Age]]&lt;35,"25-34",
IF(Table1[[#This Row],[Age]]&lt;45,"35-44","45+")))</f>
        <v>45+</v>
      </c>
    </row>
    <row r="90" spans="1:15" x14ac:dyDescent="0.25">
      <c r="A90" t="s">
        <v>99</v>
      </c>
      <c r="B90" s="4">
        <v>44645</v>
      </c>
      <c r="D90">
        <v>18</v>
      </c>
      <c r="E90" t="s">
        <v>912</v>
      </c>
      <c r="F90" t="s">
        <v>915</v>
      </c>
      <c r="G90" t="s">
        <v>920</v>
      </c>
      <c r="H90">
        <v>11640.11</v>
      </c>
      <c r="I90">
        <v>7</v>
      </c>
      <c r="J90">
        <v>43</v>
      </c>
      <c r="K90" t="s">
        <v>925</v>
      </c>
      <c r="L90" t="str">
        <f>IF(ISBLANK(Table1[[#This Row],[CancelDate]]),"Active","Churned")</f>
        <v>Active</v>
      </c>
      <c r="M90">
        <f ca="1">IF(ISBLANK(Table1[[#This Row],[CancelDate]]),DATEDIF(Table1[[#This Row],[JoinDate]],TODAY(),"M"),DATEDIF(Table1[[#This Row],[JoinDate]],Table1[[#This Row],[CancelDate]],"M"))</f>
        <v>48</v>
      </c>
      <c r="N90" t="str">
        <f>IF(Table1[[#This Row],[EngagementScore]]&lt;=40,"Low",IF(Table1[[#This Row],[EngagementScore]]&lt;=70,"Medium","High"))</f>
        <v>Medium</v>
      </c>
      <c r="O90" t="str">
        <f>IF(Table1[[#This Row],[Age]]&lt;25,"18-24",
IF(Table1[[#This Row],[Age]]&lt;35,"25-34",
IF(Table1[[#This Row],[Age]]&lt;45,"35-44","45+")))</f>
        <v>18-24</v>
      </c>
    </row>
    <row r="91" spans="1:15" x14ac:dyDescent="0.25">
      <c r="A91" t="s">
        <v>100</v>
      </c>
      <c r="B91" s="4">
        <v>44964</v>
      </c>
      <c r="D91">
        <v>49</v>
      </c>
      <c r="E91" t="s">
        <v>912</v>
      </c>
      <c r="F91" t="s">
        <v>918</v>
      </c>
      <c r="G91" t="s">
        <v>921</v>
      </c>
      <c r="H91">
        <v>11074.68</v>
      </c>
      <c r="I91">
        <v>14</v>
      </c>
      <c r="J91">
        <v>57</v>
      </c>
      <c r="K91" t="s">
        <v>923</v>
      </c>
      <c r="L91" t="str">
        <f>IF(ISBLANK(Table1[[#This Row],[CancelDate]]),"Active","Churned")</f>
        <v>Active</v>
      </c>
      <c r="M91">
        <f ca="1">IF(ISBLANK(Table1[[#This Row],[CancelDate]]),DATEDIF(Table1[[#This Row],[JoinDate]],TODAY(),"M"),DATEDIF(Table1[[#This Row],[JoinDate]],Table1[[#This Row],[CancelDate]],"M"))</f>
        <v>37</v>
      </c>
      <c r="N91" t="str">
        <f>IF(Table1[[#This Row],[EngagementScore]]&lt;=40,"Low",IF(Table1[[#This Row],[EngagementScore]]&lt;=70,"Medium","High"))</f>
        <v>Medium</v>
      </c>
      <c r="O91" t="str">
        <f>IF(Table1[[#This Row],[Age]]&lt;25,"18-24",
IF(Table1[[#This Row],[Age]]&lt;35,"25-34",
IF(Table1[[#This Row],[Age]]&lt;45,"35-44","45+")))</f>
        <v>45+</v>
      </c>
    </row>
    <row r="92" spans="1:15" x14ac:dyDescent="0.25">
      <c r="A92" t="s">
        <v>101</v>
      </c>
      <c r="B92" s="4">
        <v>44583</v>
      </c>
      <c r="D92">
        <v>41</v>
      </c>
      <c r="E92" t="s">
        <v>912</v>
      </c>
      <c r="F92" t="s">
        <v>919</v>
      </c>
      <c r="G92" t="s">
        <v>921</v>
      </c>
      <c r="H92">
        <v>3537.89</v>
      </c>
      <c r="I92">
        <v>5</v>
      </c>
      <c r="J92">
        <v>16</v>
      </c>
      <c r="K92" t="s">
        <v>925</v>
      </c>
      <c r="L92" t="str">
        <f>IF(ISBLANK(Table1[[#This Row],[CancelDate]]),"Active","Churned")</f>
        <v>Active</v>
      </c>
      <c r="M92">
        <f ca="1">IF(ISBLANK(Table1[[#This Row],[CancelDate]]),DATEDIF(Table1[[#This Row],[JoinDate]],TODAY(),"M"),DATEDIF(Table1[[#This Row],[JoinDate]],Table1[[#This Row],[CancelDate]],"M"))</f>
        <v>50</v>
      </c>
      <c r="N92" t="str">
        <f>IF(Table1[[#This Row],[EngagementScore]]&lt;=40,"Low",IF(Table1[[#This Row],[EngagementScore]]&lt;=70,"Medium","High"))</f>
        <v>Low</v>
      </c>
      <c r="O92" t="str">
        <f>IF(Table1[[#This Row],[Age]]&lt;25,"18-24",
IF(Table1[[#This Row],[Age]]&lt;35,"25-34",
IF(Table1[[#This Row],[Age]]&lt;45,"35-44","45+")))</f>
        <v>35-44</v>
      </c>
    </row>
    <row r="93" spans="1:15" x14ac:dyDescent="0.25">
      <c r="A93" t="s">
        <v>102</v>
      </c>
      <c r="B93" s="4">
        <v>45193</v>
      </c>
      <c r="C93" s="1">
        <v>45473</v>
      </c>
      <c r="D93">
        <v>50</v>
      </c>
      <c r="E93" t="s">
        <v>912</v>
      </c>
      <c r="F93" t="s">
        <v>917</v>
      </c>
      <c r="G93" t="s">
        <v>921</v>
      </c>
      <c r="H93">
        <v>26370.16</v>
      </c>
      <c r="I93">
        <v>17</v>
      </c>
      <c r="J93">
        <v>87</v>
      </c>
      <c r="K93" t="s">
        <v>923</v>
      </c>
      <c r="L93" t="str">
        <f>IF(ISBLANK(Table1[[#This Row],[CancelDate]]),"Active","Churned")</f>
        <v>Churned</v>
      </c>
      <c r="M93">
        <f ca="1">IF(ISBLANK(Table1[[#This Row],[CancelDate]]),DATEDIF(Table1[[#This Row],[JoinDate]],TODAY(),"M"),DATEDIF(Table1[[#This Row],[JoinDate]],Table1[[#This Row],[CancelDate]],"M"))</f>
        <v>9</v>
      </c>
      <c r="N93" t="str">
        <f>IF(Table1[[#This Row],[EngagementScore]]&lt;=40,"Low",IF(Table1[[#This Row],[EngagementScore]]&lt;=70,"Medium","High"))</f>
        <v>High</v>
      </c>
      <c r="O93" t="str">
        <f>IF(Table1[[#This Row],[Age]]&lt;25,"18-24",
IF(Table1[[#This Row],[Age]]&lt;35,"25-34",
IF(Table1[[#This Row],[Age]]&lt;45,"35-44","45+")))</f>
        <v>45+</v>
      </c>
    </row>
    <row r="94" spans="1:15" x14ac:dyDescent="0.25">
      <c r="A94" t="s">
        <v>103</v>
      </c>
      <c r="B94" s="4">
        <v>45141</v>
      </c>
      <c r="D94">
        <v>25</v>
      </c>
      <c r="E94" t="s">
        <v>911</v>
      </c>
      <c r="F94" t="s">
        <v>915</v>
      </c>
      <c r="G94" t="s">
        <v>921</v>
      </c>
      <c r="H94">
        <v>5422.72</v>
      </c>
      <c r="I94">
        <v>6</v>
      </c>
      <c r="J94">
        <v>24</v>
      </c>
      <c r="K94" t="s">
        <v>923</v>
      </c>
      <c r="L94" t="str">
        <f>IF(ISBLANK(Table1[[#This Row],[CancelDate]]),"Active","Churned")</f>
        <v>Active</v>
      </c>
      <c r="M94">
        <f ca="1">IF(ISBLANK(Table1[[#This Row],[CancelDate]]),DATEDIF(Table1[[#This Row],[JoinDate]],TODAY(),"M"),DATEDIF(Table1[[#This Row],[JoinDate]],Table1[[#This Row],[CancelDate]],"M"))</f>
        <v>31</v>
      </c>
      <c r="N94" t="str">
        <f>IF(Table1[[#This Row],[EngagementScore]]&lt;=40,"Low",IF(Table1[[#This Row],[EngagementScore]]&lt;=70,"Medium","High"))</f>
        <v>Low</v>
      </c>
      <c r="O94" t="str">
        <f>IF(Table1[[#This Row],[Age]]&lt;25,"18-24",
IF(Table1[[#This Row],[Age]]&lt;35,"25-34",
IF(Table1[[#This Row],[Age]]&lt;45,"35-44","45+")))</f>
        <v>25-34</v>
      </c>
    </row>
    <row r="95" spans="1:15" x14ac:dyDescent="0.25">
      <c r="A95" t="s">
        <v>104</v>
      </c>
      <c r="B95" s="4">
        <v>44765</v>
      </c>
      <c r="C95" s="1">
        <v>45108</v>
      </c>
      <c r="D95">
        <v>18</v>
      </c>
      <c r="E95" t="s">
        <v>912</v>
      </c>
      <c r="F95" t="s">
        <v>917</v>
      </c>
      <c r="G95" t="s">
        <v>921</v>
      </c>
      <c r="H95">
        <v>5990.04</v>
      </c>
      <c r="I95">
        <v>14</v>
      </c>
      <c r="J95">
        <v>54</v>
      </c>
      <c r="K95" t="s">
        <v>925</v>
      </c>
      <c r="L95" t="str">
        <f>IF(ISBLANK(Table1[[#This Row],[CancelDate]]),"Active","Churned")</f>
        <v>Churned</v>
      </c>
      <c r="M95">
        <f ca="1">IF(ISBLANK(Table1[[#This Row],[CancelDate]]),DATEDIF(Table1[[#This Row],[JoinDate]],TODAY(),"M"),DATEDIF(Table1[[#This Row],[JoinDate]],Table1[[#This Row],[CancelDate]],"M"))</f>
        <v>11</v>
      </c>
      <c r="N95" t="str">
        <f>IF(Table1[[#This Row],[EngagementScore]]&lt;=40,"Low",IF(Table1[[#This Row],[EngagementScore]]&lt;=70,"Medium","High"))</f>
        <v>Medium</v>
      </c>
      <c r="O95" t="str">
        <f>IF(Table1[[#This Row],[Age]]&lt;25,"18-24",
IF(Table1[[#This Row],[Age]]&lt;35,"25-34",
IF(Table1[[#This Row],[Age]]&lt;45,"35-44","45+")))</f>
        <v>18-24</v>
      </c>
    </row>
    <row r="96" spans="1:15" x14ac:dyDescent="0.25">
      <c r="A96" t="s">
        <v>105</v>
      </c>
      <c r="B96" s="4">
        <v>44609</v>
      </c>
      <c r="D96">
        <v>48</v>
      </c>
      <c r="E96" t="s">
        <v>912</v>
      </c>
      <c r="F96" t="s">
        <v>918</v>
      </c>
      <c r="G96" t="s">
        <v>921</v>
      </c>
      <c r="H96">
        <v>19793.53</v>
      </c>
      <c r="I96">
        <v>17</v>
      </c>
      <c r="J96">
        <v>87</v>
      </c>
      <c r="K96" t="s">
        <v>923</v>
      </c>
      <c r="L96" t="str">
        <f>IF(ISBLANK(Table1[[#This Row],[CancelDate]]),"Active","Churned")</f>
        <v>Active</v>
      </c>
      <c r="M96">
        <f ca="1">IF(ISBLANK(Table1[[#This Row],[CancelDate]]),DATEDIF(Table1[[#This Row],[JoinDate]],TODAY(),"M"),DATEDIF(Table1[[#This Row],[JoinDate]],Table1[[#This Row],[CancelDate]],"M"))</f>
        <v>49</v>
      </c>
      <c r="N96" t="str">
        <f>IF(Table1[[#This Row],[EngagementScore]]&lt;=40,"Low",IF(Table1[[#This Row],[EngagementScore]]&lt;=70,"Medium","High"))</f>
        <v>High</v>
      </c>
      <c r="O96" t="str">
        <f>IF(Table1[[#This Row],[Age]]&lt;25,"18-24",
IF(Table1[[#This Row],[Age]]&lt;35,"25-34",
IF(Table1[[#This Row],[Age]]&lt;45,"35-44","45+")))</f>
        <v>45+</v>
      </c>
    </row>
    <row r="97" spans="1:15" x14ac:dyDescent="0.25">
      <c r="A97" t="s">
        <v>106</v>
      </c>
      <c r="B97" s="4">
        <v>45346</v>
      </c>
      <c r="D97">
        <v>45</v>
      </c>
      <c r="E97" t="s">
        <v>911</v>
      </c>
      <c r="F97" t="s">
        <v>919</v>
      </c>
      <c r="G97" t="s">
        <v>921</v>
      </c>
      <c r="H97">
        <v>19296.689999999999</v>
      </c>
      <c r="I97">
        <v>28</v>
      </c>
      <c r="J97">
        <v>87</v>
      </c>
      <c r="K97" t="s">
        <v>923</v>
      </c>
      <c r="L97" t="str">
        <f>IF(ISBLANK(Table1[[#This Row],[CancelDate]]),"Active","Churned")</f>
        <v>Active</v>
      </c>
      <c r="M97">
        <f ca="1">IF(ISBLANK(Table1[[#This Row],[CancelDate]]),DATEDIF(Table1[[#This Row],[JoinDate]],TODAY(),"M"),DATEDIF(Table1[[#This Row],[JoinDate]],Table1[[#This Row],[CancelDate]],"M"))</f>
        <v>25</v>
      </c>
      <c r="N97" t="str">
        <f>IF(Table1[[#This Row],[EngagementScore]]&lt;=40,"Low",IF(Table1[[#This Row],[EngagementScore]]&lt;=70,"Medium","High"))</f>
        <v>High</v>
      </c>
      <c r="O97" t="str">
        <f>IF(Table1[[#This Row],[Age]]&lt;25,"18-24",
IF(Table1[[#This Row],[Age]]&lt;35,"25-34",
IF(Table1[[#This Row],[Age]]&lt;45,"35-44","45+")))</f>
        <v>45+</v>
      </c>
    </row>
    <row r="98" spans="1:15" x14ac:dyDescent="0.25">
      <c r="A98" t="s">
        <v>107</v>
      </c>
      <c r="B98" s="4">
        <v>45086</v>
      </c>
      <c r="C98" s="1">
        <v>45272</v>
      </c>
      <c r="D98">
        <v>53</v>
      </c>
      <c r="E98" t="s">
        <v>912</v>
      </c>
      <c r="F98" t="s">
        <v>914</v>
      </c>
      <c r="G98" t="s">
        <v>921</v>
      </c>
      <c r="H98">
        <v>6286.78</v>
      </c>
      <c r="I98">
        <v>4</v>
      </c>
      <c r="J98">
        <v>33</v>
      </c>
      <c r="K98" t="s">
        <v>924</v>
      </c>
      <c r="L98" t="str">
        <f>IF(ISBLANK(Table1[[#This Row],[CancelDate]]),"Active","Churned")</f>
        <v>Churned</v>
      </c>
      <c r="M98">
        <f ca="1">IF(ISBLANK(Table1[[#This Row],[CancelDate]]),DATEDIF(Table1[[#This Row],[JoinDate]],TODAY(),"M"),DATEDIF(Table1[[#This Row],[JoinDate]],Table1[[#This Row],[CancelDate]],"M"))</f>
        <v>6</v>
      </c>
      <c r="N98" t="str">
        <f>IF(Table1[[#This Row],[EngagementScore]]&lt;=40,"Low",IF(Table1[[#This Row],[EngagementScore]]&lt;=70,"Medium","High"))</f>
        <v>Low</v>
      </c>
      <c r="O98" t="str">
        <f>IF(Table1[[#This Row],[Age]]&lt;25,"18-24",
IF(Table1[[#This Row],[Age]]&lt;35,"25-34",
IF(Table1[[#This Row],[Age]]&lt;45,"35-44","45+")))</f>
        <v>45+</v>
      </c>
    </row>
    <row r="99" spans="1:15" x14ac:dyDescent="0.25">
      <c r="A99" t="s">
        <v>108</v>
      </c>
      <c r="B99" s="4">
        <v>44911</v>
      </c>
      <c r="C99" s="1">
        <v>45111</v>
      </c>
      <c r="D99">
        <v>38</v>
      </c>
      <c r="E99" t="s">
        <v>911</v>
      </c>
      <c r="F99" t="s">
        <v>918</v>
      </c>
      <c r="G99" t="s">
        <v>922</v>
      </c>
      <c r="H99">
        <v>11461.72</v>
      </c>
      <c r="I99">
        <v>10</v>
      </c>
      <c r="J99">
        <v>47</v>
      </c>
      <c r="K99" t="s">
        <v>913</v>
      </c>
      <c r="L99" t="str">
        <f>IF(ISBLANK(Table1[[#This Row],[CancelDate]]),"Active","Churned")</f>
        <v>Churned</v>
      </c>
      <c r="M99">
        <f ca="1">IF(ISBLANK(Table1[[#This Row],[CancelDate]]),DATEDIF(Table1[[#This Row],[JoinDate]],TODAY(),"M"),DATEDIF(Table1[[#This Row],[JoinDate]],Table1[[#This Row],[CancelDate]],"M"))</f>
        <v>6</v>
      </c>
      <c r="N99" t="str">
        <f>IF(Table1[[#This Row],[EngagementScore]]&lt;=40,"Low",IF(Table1[[#This Row],[EngagementScore]]&lt;=70,"Medium","High"))</f>
        <v>Medium</v>
      </c>
      <c r="O99" t="str">
        <f>IF(Table1[[#This Row],[Age]]&lt;25,"18-24",
IF(Table1[[#This Row],[Age]]&lt;35,"25-34",
IF(Table1[[#This Row],[Age]]&lt;45,"35-44","45+")))</f>
        <v>35-44</v>
      </c>
    </row>
    <row r="100" spans="1:15" x14ac:dyDescent="0.25">
      <c r="A100" t="s">
        <v>109</v>
      </c>
      <c r="B100" s="4">
        <v>44669</v>
      </c>
      <c r="D100">
        <v>18</v>
      </c>
      <c r="E100" t="s">
        <v>912</v>
      </c>
      <c r="F100" t="s">
        <v>919</v>
      </c>
      <c r="G100" t="s">
        <v>921</v>
      </c>
      <c r="H100">
        <v>29067.45</v>
      </c>
      <c r="I100">
        <v>22</v>
      </c>
      <c r="J100">
        <v>83</v>
      </c>
      <c r="K100" t="s">
        <v>923</v>
      </c>
      <c r="L100" t="str">
        <f>IF(ISBLANK(Table1[[#This Row],[CancelDate]]),"Active","Churned")</f>
        <v>Active</v>
      </c>
      <c r="M100">
        <f ca="1">IF(ISBLANK(Table1[[#This Row],[CancelDate]]),DATEDIF(Table1[[#This Row],[JoinDate]],TODAY(),"M"),DATEDIF(Table1[[#This Row],[JoinDate]],Table1[[#This Row],[CancelDate]],"M"))</f>
        <v>47</v>
      </c>
      <c r="N100" t="str">
        <f>IF(Table1[[#This Row],[EngagementScore]]&lt;=40,"Low",IF(Table1[[#This Row],[EngagementScore]]&lt;=70,"Medium","High"))</f>
        <v>High</v>
      </c>
      <c r="O100" t="str">
        <f>IF(Table1[[#This Row],[Age]]&lt;25,"18-24",
IF(Table1[[#This Row],[Age]]&lt;35,"25-34",
IF(Table1[[#This Row],[Age]]&lt;45,"35-44","45+")))</f>
        <v>18-24</v>
      </c>
    </row>
    <row r="101" spans="1:15" x14ac:dyDescent="0.25">
      <c r="A101" t="s">
        <v>110</v>
      </c>
      <c r="B101" s="4">
        <v>45307</v>
      </c>
      <c r="C101" s="1">
        <v>45475</v>
      </c>
      <c r="D101">
        <v>58</v>
      </c>
      <c r="E101" t="s">
        <v>911</v>
      </c>
      <c r="F101" t="s">
        <v>918</v>
      </c>
      <c r="G101" t="s">
        <v>921</v>
      </c>
      <c r="H101">
        <v>29718.07</v>
      </c>
      <c r="I101">
        <v>27</v>
      </c>
      <c r="J101">
        <v>73</v>
      </c>
      <c r="K101" t="s">
        <v>925</v>
      </c>
      <c r="L101" t="str">
        <f>IF(ISBLANK(Table1[[#This Row],[CancelDate]]),"Active","Churned")</f>
        <v>Churned</v>
      </c>
      <c r="M101">
        <f ca="1">IF(ISBLANK(Table1[[#This Row],[CancelDate]]),DATEDIF(Table1[[#This Row],[JoinDate]],TODAY(),"M"),DATEDIF(Table1[[#This Row],[JoinDate]],Table1[[#This Row],[CancelDate]],"M"))</f>
        <v>5</v>
      </c>
      <c r="N101" t="str">
        <f>IF(Table1[[#This Row],[EngagementScore]]&lt;=40,"Low",IF(Table1[[#This Row],[EngagementScore]]&lt;=70,"Medium","High"))</f>
        <v>High</v>
      </c>
      <c r="O101" t="str">
        <f>IF(Table1[[#This Row],[Age]]&lt;25,"18-24",
IF(Table1[[#This Row],[Age]]&lt;35,"25-34",
IF(Table1[[#This Row],[Age]]&lt;45,"35-44","45+")))</f>
        <v>45+</v>
      </c>
    </row>
    <row r="102" spans="1:15" x14ac:dyDescent="0.25">
      <c r="A102" t="s">
        <v>111</v>
      </c>
      <c r="B102" s="4">
        <v>44955</v>
      </c>
      <c r="D102">
        <v>20</v>
      </c>
      <c r="E102" t="s">
        <v>911</v>
      </c>
      <c r="F102" t="s">
        <v>914</v>
      </c>
      <c r="G102" t="s">
        <v>922</v>
      </c>
      <c r="H102">
        <v>8918.02</v>
      </c>
      <c r="I102">
        <v>11</v>
      </c>
      <c r="J102">
        <v>66</v>
      </c>
      <c r="K102" t="s">
        <v>923</v>
      </c>
      <c r="L102" t="str">
        <f>IF(ISBLANK(Table1[[#This Row],[CancelDate]]),"Active","Churned")</f>
        <v>Active</v>
      </c>
      <c r="M102">
        <f ca="1">IF(ISBLANK(Table1[[#This Row],[CancelDate]]),DATEDIF(Table1[[#This Row],[JoinDate]],TODAY(),"M"),DATEDIF(Table1[[#This Row],[JoinDate]],Table1[[#This Row],[CancelDate]],"M"))</f>
        <v>38</v>
      </c>
      <c r="N102" t="str">
        <f>IF(Table1[[#This Row],[EngagementScore]]&lt;=40,"Low",IF(Table1[[#This Row],[EngagementScore]]&lt;=70,"Medium","High"))</f>
        <v>Medium</v>
      </c>
      <c r="O102" t="str">
        <f>IF(Table1[[#This Row],[Age]]&lt;25,"18-24",
IF(Table1[[#This Row],[Age]]&lt;35,"25-34",
IF(Table1[[#This Row],[Age]]&lt;45,"35-44","45+")))</f>
        <v>18-24</v>
      </c>
    </row>
    <row r="103" spans="1:15" x14ac:dyDescent="0.25">
      <c r="A103" t="s">
        <v>112</v>
      </c>
      <c r="B103" s="4">
        <v>45406</v>
      </c>
      <c r="D103">
        <v>24</v>
      </c>
      <c r="E103" t="s">
        <v>912</v>
      </c>
      <c r="F103" t="s">
        <v>916</v>
      </c>
      <c r="G103" t="s">
        <v>922</v>
      </c>
      <c r="H103">
        <v>8425.2999999999993</v>
      </c>
      <c r="I103">
        <v>6</v>
      </c>
      <c r="J103">
        <v>62</v>
      </c>
      <c r="K103" t="s">
        <v>925</v>
      </c>
      <c r="L103" t="str">
        <f>IF(ISBLANK(Table1[[#This Row],[CancelDate]]),"Active","Churned")</f>
        <v>Active</v>
      </c>
      <c r="M103">
        <f ca="1">IF(ISBLANK(Table1[[#This Row],[CancelDate]]),DATEDIF(Table1[[#This Row],[JoinDate]],TODAY(),"M"),DATEDIF(Table1[[#This Row],[JoinDate]],Table1[[#This Row],[CancelDate]],"M"))</f>
        <v>23</v>
      </c>
      <c r="N103" t="str">
        <f>IF(Table1[[#This Row],[EngagementScore]]&lt;=40,"Low",IF(Table1[[#This Row],[EngagementScore]]&lt;=70,"Medium","High"))</f>
        <v>Medium</v>
      </c>
      <c r="O103" t="str">
        <f>IF(Table1[[#This Row],[Age]]&lt;25,"18-24",
IF(Table1[[#This Row],[Age]]&lt;35,"25-34",
IF(Table1[[#This Row],[Age]]&lt;45,"35-44","45+")))</f>
        <v>18-24</v>
      </c>
    </row>
    <row r="104" spans="1:15" x14ac:dyDescent="0.25">
      <c r="A104" t="s">
        <v>113</v>
      </c>
      <c r="B104" s="4">
        <v>45397</v>
      </c>
      <c r="C104" s="1">
        <v>45509</v>
      </c>
      <c r="D104">
        <v>52</v>
      </c>
      <c r="E104" t="s">
        <v>911</v>
      </c>
      <c r="F104" t="s">
        <v>914</v>
      </c>
      <c r="G104" t="s">
        <v>921</v>
      </c>
      <c r="H104">
        <v>10257.81</v>
      </c>
      <c r="I104">
        <v>7</v>
      </c>
      <c r="J104">
        <v>46</v>
      </c>
      <c r="K104" t="s">
        <v>923</v>
      </c>
      <c r="L104" t="str">
        <f>IF(ISBLANK(Table1[[#This Row],[CancelDate]]),"Active","Churned")</f>
        <v>Churned</v>
      </c>
      <c r="M104">
        <f ca="1">IF(ISBLANK(Table1[[#This Row],[CancelDate]]),DATEDIF(Table1[[#This Row],[JoinDate]],TODAY(),"M"),DATEDIF(Table1[[#This Row],[JoinDate]],Table1[[#This Row],[CancelDate]],"M"))</f>
        <v>3</v>
      </c>
      <c r="N104" t="str">
        <f>IF(Table1[[#This Row],[EngagementScore]]&lt;=40,"Low",IF(Table1[[#This Row],[EngagementScore]]&lt;=70,"Medium","High"))</f>
        <v>Medium</v>
      </c>
      <c r="O104" t="str">
        <f>IF(Table1[[#This Row],[Age]]&lt;25,"18-24",
IF(Table1[[#This Row],[Age]]&lt;35,"25-34",
IF(Table1[[#This Row],[Age]]&lt;45,"35-44","45+")))</f>
        <v>45+</v>
      </c>
    </row>
    <row r="105" spans="1:15" x14ac:dyDescent="0.25">
      <c r="A105" t="s">
        <v>114</v>
      </c>
      <c r="B105" s="4">
        <v>45184</v>
      </c>
      <c r="C105" s="1">
        <v>45281</v>
      </c>
      <c r="D105">
        <v>31</v>
      </c>
      <c r="E105" t="s">
        <v>912</v>
      </c>
      <c r="F105" t="s">
        <v>914</v>
      </c>
      <c r="G105" t="s">
        <v>921</v>
      </c>
      <c r="H105">
        <v>7286.93</v>
      </c>
      <c r="I105">
        <v>4</v>
      </c>
      <c r="J105">
        <v>15</v>
      </c>
      <c r="K105" t="s">
        <v>925</v>
      </c>
      <c r="L105" t="str">
        <f>IF(ISBLANK(Table1[[#This Row],[CancelDate]]),"Active","Churned")</f>
        <v>Churned</v>
      </c>
      <c r="M105">
        <f ca="1">IF(ISBLANK(Table1[[#This Row],[CancelDate]]),DATEDIF(Table1[[#This Row],[JoinDate]],TODAY(),"M"),DATEDIF(Table1[[#This Row],[JoinDate]],Table1[[#This Row],[CancelDate]],"M"))</f>
        <v>3</v>
      </c>
      <c r="N105" t="str">
        <f>IF(Table1[[#This Row],[EngagementScore]]&lt;=40,"Low",IF(Table1[[#This Row],[EngagementScore]]&lt;=70,"Medium","High"))</f>
        <v>Low</v>
      </c>
      <c r="O105" t="str">
        <f>IF(Table1[[#This Row],[Age]]&lt;25,"18-24",
IF(Table1[[#This Row],[Age]]&lt;35,"25-34",
IF(Table1[[#This Row],[Age]]&lt;45,"35-44","45+")))</f>
        <v>25-34</v>
      </c>
    </row>
    <row r="106" spans="1:15" x14ac:dyDescent="0.25">
      <c r="A106" t="s">
        <v>115</v>
      </c>
      <c r="B106" s="4">
        <v>45216</v>
      </c>
      <c r="D106">
        <v>46</v>
      </c>
      <c r="E106" t="s">
        <v>911</v>
      </c>
      <c r="F106" t="s">
        <v>917</v>
      </c>
      <c r="G106" t="s">
        <v>920</v>
      </c>
      <c r="H106">
        <v>16698.54</v>
      </c>
      <c r="I106">
        <v>23</v>
      </c>
      <c r="J106">
        <v>86</v>
      </c>
      <c r="K106" t="s">
        <v>925</v>
      </c>
      <c r="L106" t="str">
        <f>IF(ISBLANK(Table1[[#This Row],[CancelDate]]),"Active","Churned")</f>
        <v>Active</v>
      </c>
      <c r="M106">
        <f ca="1">IF(ISBLANK(Table1[[#This Row],[CancelDate]]),DATEDIF(Table1[[#This Row],[JoinDate]],TODAY(),"M"),DATEDIF(Table1[[#This Row],[JoinDate]],Table1[[#This Row],[CancelDate]],"M"))</f>
        <v>29</v>
      </c>
      <c r="N106" t="str">
        <f>IF(Table1[[#This Row],[EngagementScore]]&lt;=40,"Low",IF(Table1[[#This Row],[EngagementScore]]&lt;=70,"Medium","High"))</f>
        <v>High</v>
      </c>
      <c r="O106" t="str">
        <f>IF(Table1[[#This Row],[Age]]&lt;25,"18-24",
IF(Table1[[#This Row],[Age]]&lt;35,"25-34",
IF(Table1[[#This Row],[Age]]&lt;45,"35-44","45+")))</f>
        <v>45+</v>
      </c>
    </row>
    <row r="107" spans="1:15" x14ac:dyDescent="0.25">
      <c r="A107" t="s">
        <v>116</v>
      </c>
      <c r="B107" s="4">
        <v>45198</v>
      </c>
      <c r="C107" s="1">
        <v>45347</v>
      </c>
      <c r="D107">
        <v>22</v>
      </c>
      <c r="E107" t="s">
        <v>912</v>
      </c>
      <c r="F107" t="s">
        <v>919</v>
      </c>
      <c r="G107" t="s">
        <v>922</v>
      </c>
      <c r="H107">
        <v>6215.4</v>
      </c>
      <c r="I107">
        <v>1</v>
      </c>
      <c r="J107">
        <v>37</v>
      </c>
      <c r="K107" t="s">
        <v>923</v>
      </c>
      <c r="L107" t="str">
        <f>IF(ISBLANK(Table1[[#This Row],[CancelDate]]),"Active","Churned")</f>
        <v>Churned</v>
      </c>
      <c r="M107">
        <f ca="1">IF(ISBLANK(Table1[[#This Row],[CancelDate]]),DATEDIF(Table1[[#This Row],[JoinDate]],TODAY(),"M"),DATEDIF(Table1[[#This Row],[JoinDate]],Table1[[#This Row],[CancelDate]],"M"))</f>
        <v>4</v>
      </c>
      <c r="N107" t="str">
        <f>IF(Table1[[#This Row],[EngagementScore]]&lt;=40,"Low",IF(Table1[[#This Row],[EngagementScore]]&lt;=70,"Medium","High"))</f>
        <v>Low</v>
      </c>
      <c r="O107" t="str">
        <f>IF(Table1[[#This Row],[Age]]&lt;25,"18-24",
IF(Table1[[#This Row],[Age]]&lt;35,"25-34",
IF(Table1[[#This Row],[Age]]&lt;45,"35-44","45+")))</f>
        <v>18-24</v>
      </c>
    </row>
    <row r="108" spans="1:15" x14ac:dyDescent="0.25">
      <c r="A108" t="s">
        <v>117</v>
      </c>
      <c r="B108" s="4">
        <v>44838</v>
      </c>
      <c r="C108" s="1">
        <v>44944</v>
      </c>
      <c r="D108">
        <v>38</v>
      </c>
      <c r="E108" t="s">
        <v>911</v>
      </c>
      <c r="F108" t="s">
        <v>918</v>
      </c>
      <c r="G108" t="s">
        <v>921</v>
      </c>
      <c r="H108">
        <v>5707.26</v>
      </c>
      <c r="I108">
        <v>4</v>
      </c>
      <c r="J108">
        <v>39</v>
      </c>
      <c r="K108" t="s">
        <v>923</v>
      </c>
      <c r="L108" t="str">
        <f>IF(ISBLANK(Table1[[#This Row],[CancelDate]]),"Active","Churned")</f>
        <v>Churned</v>
      </c>
      <c r="M108">
        <f ca="1">IF(ISBLANK(Table1[[#This Row],[CancelDate]]),DATEDIF(Table1[[#This Row],[JoinDate]],TODAY(),"M"),DATEDIF(Table1[[#This Row],[JoinDate]],Table1[[#This Row],[CancelDate]],"M"))</f>
        <v>3</v>
      </c>
      <c r="N108" t="str">
        <f>IF(Table1[[#This Row],[EngagementScore]]&lt;=40,"Low",IF(Table1[[#This Row],[EngagementScore]]&lt;=70,"Medium","High"))</f>
        <v>Low</v>
      </c>
      <c r="O108" t="str">
        <f>IF(Table1[[#This Row],[Age]]&lt;25,"18-24",
IF(Table1[[#This Row],[Age]]&lt;35,"25-34",
IF(Table1[[#This Row],[Age]]&lt;45,"35-44","45+")))</f>
        <v>35-44</v>
      </c>
    </row>
    <row r="109" spans="1:15" x14ac:dyDescent="0.25">
      <c r="A109" t="s">
        <v>118</v>
      </c>
      <c r="B109" s="4">
        <v>44871</v>
      </c>
      <c r="D109">
        <v>35</v>
      </c>
      <c r="E109" t="s">
        <v>911</v>
      </c>
      <c r="F109" t="s">
        <v>919</v>
      </c>
      <c r="G109" t="s">
        <v>921</v>
      </c>
      <c r="H109">
        <v>25483</v>
      </c>
      <c r="I109">
        <v>19</v>
      </c>
      <c r="J109">
        <v>91</v>
      </c>
      <c r="K109" t="s">
        <v>923</v>
      </c>
      <c r="L109" t="str">
        <f>IF(ISBLANK(Table1[[#This Row],[CancelDate]]),"Active","Churned")</f>
        <v>Active</v>
      </c>
      <c r="M109">
        <f ca="1">IF(ISBLANK(Table1[[#This Row],[CancelDate]]),DATEDIF(Table1[[#This Row],[JoinDate]],TODAY(),"M"),DATEDIF(Table1[[#This Row],[JoinDate]],Table1[[#This Row],[CancelDate]],"M"))</f>
        <v>40</v>
      </c>
      <c r="N109" t="str">
        <f>IF(Table1[[#This Row],[EngagementScore]]&lt;=40,"Low",IF(Table1[[#This Row],[EngagementScore]]&lt;=70,"Medium","High"))</f>
        <v>High</v>
      </c>
      <c r="O109" t="str">
        <f>IF(Table1[[#This Row],[Age]]&lt;25,"18-24",
IF(Table1[[#This Row],[Age]]&lt;35,"25-34",
IF(Table1[[#This Row],[Age]]&lt;45,"35-44","45+")))</f>
        <v>35-44</v>
      </c>
    </row>
    <row r="110" spans="1:15" x14ac:dyDescent="0.25">
      <c r="A110" t="s">
        <v>119</v>
      </c>
      <c r="B110" s="4">
        <v>45389</v>
      </c>
      <c r="D110">
        <v>57</v>
      </c>
      <c r="E110" t="s">
        <v>911</v>
      </c>
      <c r="F110" t="s">
        <v>918</v>
      </c>
      <c r="G110" t="s">
        <v>921</v>
      </c>
      <c r="H110">
        <v>2270.25</v>
      </c>
      <c r="I110">
        <v>6</v>
      </c>
      <c r="J110">
        <v>24</v>
      </c>
      <c r="K110" t="s">
        <v>913</v>
      </c>
      <c r="L110" t="str">
        <f>IF(ISBLANK(Table1[[#This Row],[CancelDate]]),"Active","Churned")</f>
        <v>Active</v>
      </c>
      <c r="M110">
        <f ca="1">IF(ISBLANK(Table1[[#This Row],[CancelDate]]),DATEDIF(Table1[[#This Row],[JoinDate]],TODAY(),"M"),DATEDIF(Table1[[#This Row],[JoinDate]],Table1[[#This Row],[CancelDate]],"M"))</f>
        <v>23</v>
      </c>
      <c r="N110" t="str">
        <f>IF(Table1[[#This Row],[EngagementScore]]&lt;=40,"Low",IF(Table1[[#This Row],[EngagementScore]]&lt;=70,"Medium","High"))</f>
        <v>Low</v>
      </c>
      <c r="O110" t="str">
        <f>IF(Table1[[#This Row],[Age]]&lt;25,"18-24",
IF(Table1[[#This Row],[Age]]&lt;35,"25-34",
IF(Table1[[#This Row],[Age]]&lt;45,"35-44","45+")))</f>
        <v>45+</v>
      </c>
    </row>
    <row r="111" spans="1:15" x14ac:dyDescent="0.25">
      <c r="A111" t="s">
        <v>120</v>
      </c>
      <c r="B111" s="4">
        <v>44597</v>
      </c>
      <c r="D111">
        <v>40</v>
      </c>
      <c r="E111" t="s">
        <v>912</v>
      </c>
      <c r="F111" t="s">
        <v>917</v>
      </c>
      <c r="G111" t="s">
        <v>921</v>
      </c>
      <c r="H111">
        <v>6478.27</v>
      </c>
      <c r="I111">
        <v>1</v>
      </c>
      <c r="J111">
        <v>39</v>
      </c>
      <c r="K111" t="s">
        <v>925</v>
      </c>
      <c r="L111" t="str">
        <f>IF(ISBLANK(Table1[[#This Row],[CancelDate]]),"Active","Churned")</f>
        <v>Active</v>
      </c>
      <c r="M111">
        <f ca="1">IF(ISBLANK(Table1[[#This Row],[CancelDate]]),DATEDIF(Table1[[#This Row],[JoinDate]],TODAY(),"M"),DATEDIF(Table1[[#This Row],[JoinDate]],Table1[[#This Row],[CancelDate]],"M"))</f>
        <v>49</v>
      </c>
      <c r="N111" t="str">
        <f>IF(Table1[[#This Row],[EngagementScore]]&lt;=40,"Low",IF(Table1[[#This Row],[EngagementScore]]&lt;=70,"Medium","High"))</f>
        <v>Low</v>
      </c>
      <c r="O111" t="str">
        <f>IF(Table1[[#This Row],[Age]]&lt;25,"18-24",
IF(Table1[[#This Row],[Age]]&lt;35,"25-34",
IF(Table1[[#This Row],[Age]]&lt;45,"35-44","45+")))</f>
        <v>35-44</v>
      </c>
    </row>
    <row r="112" spans="1:15" x14ac:dyDescent="0.25">
      <c r="A112" t="s">
        <v>121</v>
      </c>
      <c r="B112" s="4">
        <v>45378</v>
      </c>
      <c r="D112">
        <v>36</v>
      </c>
      <c r="E112" t="s">
        <v>912</v>
      </c>
      <c r="F112" t="s">
        <v>915</v>
      </c>
      <c r="G112" t="s">
        <v>921</v>
      </c>
      <c r="H112">
        <v>6800.13</v>
      </c>
      <c r="I112">
        <v>8</v>
      </c>
      <c r="J112">
        <v>60</v>
      </c>
      <c r="K112" t="s">
        <v>925</v>
      </c>
      <c r="L112" t="str">
        <f>IF(ISBLANK(Table1[[#This Row],[CancelDate]]),"Active","Churned")</f>
        <v>Active</v>
      </c>
      <c r="M112">
        <f ca="1">IF(ISBLANK(Table1[[#This Row],[CancelDate]]),DATEDIF(Table1[[#This Row],[JoinDate]],TODAY(),"M"),DATEDIF(Table1[[#This Row],[JoinDate]],Table1[[#This Row],[CancelDate]],"M"))</f>
        <v>24</v>
      </c>
      <c r="N112" t="str">
        <f>IF(Table1[[#This Row],[EngagementScore]]&lt;=40,"Low",IF(Table1[[#This Row],[EngagementScore]]&lt;=70,"Medium","High"))</f>
        <v>Medium</v>
      </c>
      <c r="O112" t="str">
        <f>IF(Table1[[#This Row],[Age]]&lt;25,"18-24",
IF(Table1[[#This Row],[Age]]&lt;35,"25-34",
IF(Table1[[#This Row],[Age]]&lt;45,"35-44","45+")))</f>
        <v>35-44</v>
      </c>
    </row>
    <row r="113" spans="1:15" x14ac:dyDescent="0.25">
      <c r="A113" t="s">
        <v>122</v>
      </c>
      <c r="B113" s="4">
        <v>44822</v>
      </c>
      <c r="C113" s="1">
        <v>45164</v>
      </c>
      <c r="D113">
        <v>49</v>
      </c>
      <c r="E113" t="s">
        <v>912</v>
      </c>
      <c r="F113" t="s">
        <v>916</v>
      </c>
      <c r="G113" t="s">
        <v>921</v>
      </c>
      <c r="H113">
        <v>10897.87</v>
      </c>
      <c r="I113">
        <v>8</v>
      </c>
      <c r="J113">
        <v>49</v>
      </c>
      <c r="K113" t="s">
        <v>923</v>
      </c>
      <c r="L113" t="str">
        <f>IF(ISBLANK(Table1[[#This Row],[CancelDate]]),"Active","Churned")</f>
        <v>Churned</v>
      </c>
      <c r="M113">
        <f ca="1">IF(ISBLANK(Table1[[#This Row],[CancelDate]]),DATEDIF(Table1[[#This Row],[JoinDate]],TODAY(),"M"),DATEDIF(Table1[[#This Row],[JoinDate]],Table1[[#This Row],[CancelDate]],"M"))</f>
        <v>11</v>
      </c>
      <c r="N113" t="str">
        <f>IF(Table1[[#This Row],[EngagementScore]]&lt;=40,"Low",IF(Table1[[#This Row],[EngagementScore]]&lt;=70,"Medium","High"))</f>
        <v>Medium</v>
      </c>
      <c r="O113" t="str">
        <f>IF(Table1[[#This Row],[Age]]&lt;25,"18-24",
IF(Table1[[#This Row],[Age]]&lt;35,"25-34",
IF(Table1[[#This Row],[Age]]&lt;45,"35-44","45+")))</f>
        <v>45+</v>
      </c>
    </row>
    <row r="114" spans="1:15" x14ac:dyDescent="0.25">
      <c r="A114" t="s">
        <v>123</v>
      </c>
      <c r="B114" s="4">
        <v>45373</v>
      </c>
      <c r="D114">
        <v>41</v>
      </c>
      <c r="E114" t="s">
        <v>912</v>
      </c>
      <c r="F114" t="s">
        <v>916</v>
      </c>
      <c r="G114" t="s">
        <v>921</v>
      </c>
      <c r="H114">
        <v>2045.1</v>
      </c>
      <c r="I114">
        <v>4</v>
      </c>
      <c r="J114">
        <v>35</v>
      </c>
      <c r="K114" t="s">
        <v>925</v>
      </c>
      <c r="L114" t="str">
        <f>IF(ISBLANK(Table1[[#This Row],[CancelDate]]),"Active","Churned")</f>
        <v>Active</v>
      </c>
      <c r="M114">
        <f ca="1">IF(ISBLANK(Table1[[#This Row],[CancelDate]]),DATEDIF(Table1[[#This Row],[JoinDate]],TODAY(),"M"),DATEDIF(Table1[[#This Row],[JoinDate]],Table1[[#This Row],[CancelDate]],"M"))</f>
        <v>24</v>
      </c>
      <c r="N114" t="str">
        <f>IF(Table1[[#This Row],[EngagementScore]]&lt;=40,"Low",IF(Table1[[#This Row],[EngagementScore]]&lt;=70,"Medium","High"))</f>
        <v>Low</v>
      </c>
      <c r="O114" t="str">
        <f>IF(Table1[[#This Row],[Age]]&lt;25,"18-24",
IF(Table1[[#This Row],[Age]]&lt;35,"25-34",
IF(Table1[[#This Row],[Age]]&lt;45,"35-44","45+")))</f>
        <v>35-44</v>
      </c>
    </row>
    <row r="115" spans="1:15" x14ac:dyDescent="0.25">
      <c r="A115" t="s">
        <v>124</v>
      </c>
      <c r="B115" s="4">
        <v>45018</v>
      </c>
      <c r="C115" s="1">
        <v>45108</v>
      </c>
      <c r="D115">
        <v>32</v>
      </c>
      <c r="E115" t="s">
        <v>911</v>
      </c>
      <c r="F115" t="s">
        <v>914</v>
      </c>
      <c r="G115" t="s">
        <v>921</v>
      </c>
      <c r="H115">
        <v>4312.24</v>
      </c>
      <c r="I115">
        <v>4</v>
      </c>
      <c r="J115">
        <v>36</v>
      </c>
      <c r="K115" t="s">
        <v>923</v>
      </c>
      <c r="L115" t="str">
        <f>IF(ISBLANK(Table1[[#This Row],[CancelDate]]),"Active","Churned")</f>
        <v>Churned</v>
      </c>
      <c r="M115">
        <f ca="1">IF(ISBLANK(Table1[[#This Row],[CancelDate]]),DATEDIF(Table1[[#This Row],[JoinDate]],TODAY(),"M"),DATEDIF(Table1[[#This Row],[JoinDate]],Table1[[#This Row],[CancelDate]],"M"))</f>
        <v>2</v>
      </c>
      <c r="N115" t="str">
        <f>IF(Table1[[#This Row],[EngagementScore]]&lt;=40,"Low",IF(Table1[[#This Row],[EngagementScore]]&lt;=70,"Medium","High"))</f>
        <v>Low</v>
      </c>
      <c r="O115" t="str">
        <f>IF(Table1[[#This Row],[Age]]&lt;25,"18-24",
IF(Table1[[#This Row],[Age]]&lt;35,"25-34",
IF(Table1[[#This Row],[Age]]&lt;45,"35-44","45+")))</f>
        <v>25-34</v>
      </c>
    </row>
    <row r="116" spans="1:15" x14ac:dyDescent="0.25">
      <c r="A116" t="s">
        <v>125</v>
      </c>
      <c r="B116" s="4">
        <v>45036</v>
      </c>
      <c r="D116">
        <v>34</v>
      </c>
      <c r="E116" t="s">
        <v>911</v>
      </c>
      <c r="F116" t="s">
        <v>916</v>
      </c>
      <c r="G116" t="s">
        <v>921</v>
      </c>
      <c r="H116">
        <v>4228.25</v>
      </c>
      <c r="I116">
        <v>5</v>
      </c>
      <c r="J116">
        <v>33</v>
      </c>
      <c r="K116" t="s">
        <v>925</v>
      </c>
      <c r="L116" t="str">
        <f>IF(ISBLANK(Table1[[#This Row],[CancelDate]]),"Active","Churned")</f>
        <v>Active</v>
      </c>
      <c r="M116">
        <f ca="1">IF(ISBLANK(Table1[[#This Row],[CancelDate]]),DATEDIF(Table1[[#This Row],[JoinDate]],TODAY(),"M"),DATEDIF(Table1[[#This Row],[JoinDate]],Table1[[#This Row],[CancelDate]],"M"))</f>
        <v>35</v>
      </c>
      <c r="N116" t="str">
        <f>IF(Table1[[#This Row],[EngagementScore]]&lt;=40,"Low",IF(Table1[[#This Row],[EngagementScore]]&lt;=70,"Medium","High"))</f>
        <v>Low</v>
      </c>
      <c r="O116" t="str">
        <f>IF(Table1[[#This Row],[Age]]&lt;25,"18-24",
IF(Table1[[#This Row],[Age]]&lt;35,"25-34",
IF(Table1[[#This Row],[Age]]&lt;45,"35-44","45+")))</f>
        <v>25-34</v>
      </c>
    </row>
    <row r="117" spans="1:15" x14ac:dyDescent="0.25">
      <c r="A117" t="s">
        <v>126</v>
      </c>
      <c r="B117" s="4">
        <v>45324</v>
      </c>
      <c r="D117">
        <v>35</v>
      </c>
      <c r="E117" t="s">
        <v>911</v>
      </c>
      <c r="F117" t="s">
        <v>916</v>
      </c>
      <c r="G117" t="s">
        <v>921</v>
      </c>
      <c r="H117">
        <v>6840.46</v>
      </c>
      <c r="I117">
        <v>2</v>
      </c>
      <c r="J117">
        <v>26</v>
      </c>
      <c r="K117" t="s">
        <v>923</v>
      </c>
      <c r="L117" t="str">
        <f>IF(ISBLANK(Table1[[#This Row],[CancelDate]]),"Active","Churned")</f>
        <v>Active</v>
      </c>
      <c r="M117">
        <f ca="1">IF(ISBLANK(Table1[[#This Row],[CancelDate]]),DATEDIF(Table1[[#This Row],[JoinDate]],TODAY(),"M"),DATEDIF(Table1[[#This Row],[JoinDate]],Table1[[#This Row],[CancelDate]],"M"))</f>
        <v>26</v>
      </c>
      <c r="N117" t="str">
        <f>IF(Table1[[#This Row],[EngagementScore]]&lt;=40,"Low",IF(Table1[[#This Row],[EngagementScore]]&lt;=70,"Medium","High"))</f>
        <v>Low</v>
      </c>
      <c r="O117" t="str">
        <f>IF(Table1[[#This Row],[Age]]&lt;25,"18-24",
IF(Table1[[#This Row],[Age]]&lt;35,"25-34",
IF(Table1[[#This Row],[Age]]&lt;45,"35-44","45+")))</f>
        <v>35-44</v>
      </c>
    </row>
    <row r="118" spans="1:15" x14ac:dyDescent="0.25">
      <c r="A118" t="s">
        <v>127</v>
      </c>
      <c r="B118" s="4">
        <v>45128</v>
      </c>
      <c r="D118">
        <v>25</v>
      </c>
      <c r="E118" t="s">
        <v>912</v>
      </c>
      <c r="F118" t="s">
        <v>915</v>
      </c>
      <c r="G118" t="s">
        <v>922</v>
      </c>
      <c r="H118">
        <v>9192.24</v>
      </c>
      <c r="I118">
        <v>12</v>
      </c>
      <c r="J118">
        <v>51</v>
      </c>
      <c r="K118" t="s">
        <v>925</v>
      </c>
      <c r="L118" t="str">
        <f>IF(ISBLANK(Table1[[#This Row],[CancelDate]]),"Active","Churned")</f>
        <v>Active</v>
      </c>
      <c r="M118">
        <f ca="1">IF(ISBLANK(Table1[[#This Row],[CancelDate]]),DATEDIF(Table1[[#This Row],[JoinDate]],TODAY(),"M"),DATEDIF(Table1[[#This Row],[JoinDate]],Table1[[#This Row],[CancelDate]],"M"))</f>
        <v>32</v>
      </c>
      <c r="N118" t="str">
        <f>IF(Table1[[#This Row],[EngagementScore]]&lt;=40,"Low",IF(Table1[[#This Row],[EngagementScore]]&lt;=70,"Medium","High"))</f>
        <v>Medium</v>
      </c>
      <c r="O118" t="str">
        <f>IF(Table1[[#This Row],[Age]]&lt;25,"18-24",
IF(Table1[[#This Row],[Age]]&lt;35,"25-34",
IF(Table1[[#This Row],[Age]]&lt;45,"35-44","45+")))</f>
        <v>25-34</v>
      </c>
    </row>
    <row r="119" spans="1:15" x14ac:dyDescent="0.25">
      <c r="A119" t="s">
        <v>128</v>
      </c>
      <c r="B119" s="4">
        <v>45117</v>
      </c>
      <c r="D119">
        <v>25</v>
      </c>
      <c r="E119" t="s">
        <v>911</v>
      </c>
      <c r="F119" t="s">
        <v>919</v>
      </c>
      <c r="G119" t="s">
        <v>920</v>
      </c>
      <c r="H119">
        <v>7080.95</v>
      </c>
      <c r="I119">
        <v>7</v>
      </c>
      <c r="J119">
        <v>24</v>
      </c>
      <c r="K119" t="s">
        <v>925</v>
      </c>
      <c r="L119" t="str">
        <f>IF(ISBLANK(Table1[[#This Row],[CancelDate]]),"Active","Churned")</f>
        <v>Active</v>
      </c>
      <c r="M119">
        <f ca="1">IF(ISBLANK(Table1[[#This Row],[CancelDate]]),DATEDIF(Table1[[#This Row],[JoinDate]],TODAY(),"M"),DATEDIF(Table1[[#This Row],[JoinDate]],Table1[[#This Row],[CancelDate]],"M"))</f>
        <v>32</v>
      </c>
      <c r="N119" t="str">
        <f>IF(Table1[[#This Row],[EngagementScore]]&lt;=40,"Low",IF(Table1[[#This Row],[EngagementScore]]&lt;=70,"Medium","High"))</f>
        <v>Low</v>
      </c>
      <c r="O119" t="str">
        <f>IF(Table1[[#This Row],[Age]]&lt;25,"18-24",
IF(Table1[[#This Row],[Age]]&lt;35,"25-34",
IF(Table1[[#This Row],[Age]]&lt;45,"35-44","45+")))</f>
        <v>25-34</v>
      </c>
    </row>
    <row r="120" spans="1:15" x14ac:dyDescent="0.25">
      <c r="A120" t="s">
        <v>129</v>
      </c>
      <c r="B120" s="4">
        <v>44777</v>
      </c>
      <c r="D120">
        <v>53</v>
      </c>
      <c r="E120" t="s">
        <v>911</v>
      </c>
      <c r="F120" t="s">
        <v>918</v>
      </c>
      <c r="G120" t="s">
        <v>920</v>
      </c>
      <c r="H120">
        <v>18479.240000000002</v>
      </c>
      <c r="I120">
        <v>25</v>
      </c>
      <c r="J120">
        <v>96</v>
      </c>
      <c r="K120" t="s">
        <v>925</v>
      </c>
      <c r="L120" t="str">
        <f>IF(ISBLANK(Table1[[#This Row],[CancelDate]]),"Active","Churned")</f>
        <v>Active</v>
      </c>
      <c r="M120">
        <f ca="1">IF(ISBLANK(Table1[[#This Row],[CancelDate]]),DATEDIF(Table1[[#This Row],[JoinDate]],TODAY(),"M"),DATEDIF(Table1[[#This Row],[JoinDate]],Table1[[#This Row],[CancelDate]],"M"))</f>
        <v>43</v>
      </c>
      <c r="N120" t="str">
        <f>IF(Table1[[#This Row],[EngagementScore]]&lt;=40,"Low",IF(Table1[[#This Row],[EngagementScore]]&lt;=70,"Medium","High"))</f>
        <v>High</v>
      </c>
      <c r="O120" t="str">
        <f>IF(Table1[[#This Row],[Age]]&lt;25,"18-24",
IF(Table1[[#This Row],[Age]]&lt;35,"25-34",
IF(Table1[[#This Row],[Age]]&lt;45,"35-44","45+")))</f>
        <v>45+</v>
      </c>
    </row>
    <row r="121" spans="1:15" x14ac:dyDescent="0.25">
      <c r="A121" t="s">
        <v>130</v>
      </c>
      <c r="B121" s="4">
        <v>44996</v>
      </c>
      <c r="C121" s="1">
        <v>45037</v>
      </c>
      <c r="D121">
        <v>18</v>
      </c>
      <c r="E121" t="s">
        <v>912</v>
      </c>
      <c r="F121" t="s">
        <v>918</v>
      </c>
      <c r="G121" t="s">
        <v>921</v>
      </c>
      <c r="H121">
        <v>5696.76</v>
      </c>
      <c r="I121">
        <v>7</v>
      </c>
      <c r="J121">
        <v>41</v>
      </c>
      <c r="K121" t="s">
        <v>923</v>
      </c>
      <c r="L121" t="str">
        <f>IF(ISBLANK(Table1[[#This Row],[CancelDate]]),"Active","Churned")</f>
        <v>Churned</v>
      </c>
      <c r="M121">
        <f ca="1">IF(ISBLANK(Table1[[#This Row],[CancelDate]]),DATEDIF(Table1[[#This Row],[JoinDate]],TODAY(),"M"),DATEDIF(Table1[[#This Row],[JoinDate]],Table1[[#This Row],[CancelDate]],"M"))</f>
        <v>1</v>
      </c>
      <c r="N121" t="str">
        <f>IF(Table1[[#This Row],[EngagementScore]]&lt;=40,"Low",IF(Table1[[#This Row],[EngagementScore]]&lt;=70,"Medium","High"))</f>
        <v>Medium</v>
      </c>
      <c r="O121" t="str">
        <f>IF(Table1[[#This Row],[Age]]&lt;25,"18-24",
IF(Table1[[#This Row],[Age]]&lt;35,"25-34",
IF(Table1[[#This Row],[Age]]&lt;45,"35-44","45+")))</f>
        <v>18-24</v>
      </c>
    </row>
    <row r="122" spans="1:15" x14ac:dyDescent="0.25">
      <c r="A122" t="s">
        <v>131</v>
      </c>
      <c r="B122" s="4">
        <v>44601</v>
      </c>
      <c r="D122">
        <v>39</v>
      </c>
      <c r="E122" t="s">
        <v>912</v>
      </c>
      <c r="F122" t="s">
        <v>919</v>
      </c>
      <c r="G122" t="s">
        <v>920</v>
      </c>
      <c r="H122">
        <v>10661.38</v>
      </c>
      <c r="I122">
        <v>7</v>
      </c>
      <c r="J122">
        <v>67</v>
      </c>
      <c r="K122" t="s">
        <v>925</v>
      </c>
      <c r="L122" t="str">
        <f>IF(ISBLANK(Table1[[#This Row],[CancelDate]]),"Active","Churned")</f>
        <v>Active</v>
      </c>
      <c r="M122">
        <f ca="1">IF(ISBLANK(Table1[[#This Row],[CancelDate]]),DATEDIF(Table1[[#This Row],[JoinDate]],TODAY(),"M"),DATEDIF(Table1[[#This Row],[JoinDate]],Table1[[#This Row],[CancelDate]],"M"))</f>
        <v>49</v>
      </c>
      <c r="N122" t="str">
        <f>IF(Table1[[#This Row],[EngagementScore]]&lt;=40,"Low",IF(Table1[[#This Row],[EngagementScore]]&lt;=70,"Medium","High"))</f>
        <v>Medium</v>
      </c>
      <c r="O122" t="str">
        <f>IF(Table1[[#This Row],[Age]]&lt;25,"18-24",
IF(Table1[[#This Row],[Age]]&lt;35,"25-34",
IF(Table1[[#This Row],[Age]]&lt;45,"35-44","45+")))</f>
        <v>35-44</v>
      </c>
    </row>
    <row r="123" spans="1:15" x14ac:dyDescent="0.25">
      <c r="A123" t="s">
        <v>132</v>
      </c>
      <c r="B123" s="4">
        <v>44693</v>
      </c>
      <c r="D123">
        <v>47</v>
      </c>
      <c r="E123" t="s">
        <v>912</v>
      </c>
      <c r="F123" t="s">
        <v>916</v>
      </c>
      <c r="G123" t="s">
        <v>922</v>
      </c>
      <c r="H123">
        <v>24585.74</v>
      </c>
      <c r="I123">
        <v>16</v>
      </c>
      <c r="J123">
        <v>84</v>
      </c>
      <c r="K123" t="s">
        <v>913</v>
      </c>
      <c r="L123" t="str">
        <f>IF(ISBLANK(Table1[[#This Row],[CancelDate]]),"Active","Churned")</f>
        <v>Active</v>
      </c>
      <c r="M123">
        <f ca="1">IF(ISBLANK(Table1[[#This Row],[CancelDate]]),DATEDIF(Table1[[#This Row],[JoinDate]],TODAY(),"M"),DATEDIF(Table1[[#This Row],[JoinDate]],Table1[[#This Row],[CancelDate]],"M"))</f>
        <v>46</v>
      </c>
      <c r="N123" t="str">
        <f>IF(Table1[[#This Row],[EngagementScore]]&lt;=40,"Low",IF(Table1[[#This Row],[EngagementScore]]&lt;=70,"Medium","High"))</f>
        <v>High</v>
      </c>
      <c r="O123" t="str">
        <f>IF(Table1[[#This Row],[Age]]&lt;25,"18-24",
IF(Table1[[#This Row],[Age]]&lt;35,"25-34",
IF(Table1[[#This Row],[Age]]&lt;45,"35-44","45+")))</f>
        <v>45+</v>
      </c>
    </row>
    <row r="124" spans="1:15" x14ac:dyDescent="0.25">
      <c r="A124" t="s">
        <v>133</v>
      </c>
      <c r="B124" s="4">
        <v>44975</v>
      </c>
      <c r="C124" s="1">
        <v>45256</v>
      </c>
      <c r="D124">
        <v>48</v>
      </c>
      <c r="E124" t="s">
        <v>911</v>
      </c>
      <c r="F124" t="s">
        <v>917</v>
      </c>
      <c r="G124" t="s">
        <v>921</v>
      </c>
      <c r="H124">
        <v>5615.12</v>
      </c>
      <c r="I124">
        <v>4</v>
      </c>
      <c r="J124">
        <v>36</v>
      </c>
      <c r="K124" t="s">
        <v>925</v>
      </c>
      <c r="L124" t="str">
        <f>IF(ISBLANK(Table1[[#This Row],[CancelDate]]),"Active","Churned")</f>
        <v>Churned</v>
      </c>
      <c r="M124">
        <f ca="1">IF(ISBLANK(Table1[[#This Row],[CancelDate]]),DATEDIF(Table1[[#This Row],[JoinDate]],TODAY(),"M"),DATEDIF(Table1[[#This Row],[JoinDate]],Table1[[#This Row],[CancelDate]],"M"))</f>
        <v>9</v>
      </c>
      <c r="N124" t="str">
        <f>IF(Table1[[#This Row],[EngagementScore]]&lt;=40,"Low",IF(Table1[[#This Row],[EngagementScore]]&lt;=70,"Medium","High"))</f>
        <v>Low</v>
      </c>
      <c r="O124" t="str">
        <f>IF(Table1[[#This Row],[Age]]&lt;25,"18-24",
IF(Table1[[#This Row],[Age]]&lt;35,"25-34",
IF(Table1[[#This Row],[Age]]&lt;45,"35-44","45+")))</f>
        <v>45+</v>
      </c>
    </row>
    <row r="125" spans="1:15" x14ac:dyDescent="0.25">
      <c r="A125" t="s">
        <v>134</v>
      </c>
      <c r="B125" s="4">
        <v>45022</v>
      </c>
      <c r="D125">
        <v>27</v>
      </c>
      <c r="E125" t="s">
        <v>912</v>
      </c>
      <c r="F125" t="s">
        <v>914</v>
      </c>
      <c r="G125" t="s">
        <v>921</v>
      </c>
      <c r="H125">
        <v>14533.22</v>
      </c>
      <c r="I125">
        <v>29</v>
      </c>
      <c r="J125">
        <v>92</v>
      </c>
      <c r="K125" t="s">
        <v>925</v>
      </c>
      <c r="L125" t="str">
        <f>IF(ISBLANK(Table1[[#This Row],[CancelDate]]),"Active","Churned")</f>
        <v>Active</v>
      </c>
      <c r="M125">
        <f ca="1">IF(ISBLANK(Table1[[#This Row],[CancelDate]]),DATEDIF(Table1[[#This Row],[JoinDate]],TODAY(),"M"),DATEDIF(Table1[[#This Row],[JoinDate]],Table1[[#This Row],[CancelDate]],"M"))</f>
        <v>35</v>
      </c>
      <c r="N125" t="str">
        <f>IF(Table1[[#This Row],[EngagementScore]]&lt;=40,"Low",IF(Table1[[#This Row],[EngagementScore]]&lt;=70,"Medium","High"))</f>
        <v>High</v>
      </c>
      <c r="O125" t="str">
        <f>IF(Table1[[#This Row],[Age]]&lt;25,"18-24",
IF(Table1[[#This Row],[Age]]&lt;35,"25-34",
IF(Table1[[#This Row],[Age]]&lt;45,"35-44","45+")))</f>
        <v>25-34</v>
      </c>
    </row>
    <row r="126" spans="1:15" x14ac:dyDescent="0.25">
      <c r="A126" t="s">
        <v>135</v>
      </c>
      <c r="B126" s="4">
        <v>45409</v>
      </c>
      <c r="C126" s="1">
        <v>45756</v>
      </c>
      <c r="D126">
        <v>27</v>
      </c>
      <c r="E126" t="s">
        <v>912</v>
      </c>
      <c r="F126" t="s">
        <v>919</v>
      </c>
      <c r="G126" t="s">
        <v>922</v>
      </c>
      <c r="H126">
        <v>5871.33</v>
      </c>
      <c r="I126">
        <v>12</v>
      </c>
      <c r="J126">
        <v>40</v>
      </c>
      <c r="K126" t="s">
        <v>925</v>
      </c>
      <c r="L126" t="str">
        <f>IF(ISBLANK(Table1[[#This Row],[CancelDate]]),"Active","Churned")</f>
        <v>Churned</v>
      </c>
      <c r="M126">
        <f ca="1">IF(ISBLANK(Table1[[#This Row],[CancelDate]]),DATEDIF(Table1[[#This Row],[JoinDate]],TODAY(),"M"),DATEDIF(Table1[[#This Row],[JoinDate]],Table1[[#This Row],[CancelDate]],"M"))</f>
        <v>11</v>
      </c>
      <c r="N126" t="str">
        <f>IF(Table1[[#This Row],[EngagementScore]]&lt;=40,"Low",IF(Table1[[#This Row],[EngagementScore]]&lt;=70,"Medium","High"))</f>
        <v>Low</v>
      </c>
      <c r="O126" t="str">
        <f>IF(Table1[[#This Row],[Age]]&lt;25,"18-24",
IF(Table1[[#This Row],[Age]]&lt;35,"25-34",
IF(Table1[[#This Row],[Age]]&lt;45,"35-44","45+")))</f>
        <v>25-34</v>
      </c>
    </row>
    <row r="127" spans="1:15" x14ac:dyDescent="0.25">
      <c r="A127" t="s">
        <v>136</v>
      </c>
      <c r="B127" s="4">
        <v>45359</v>
      </c>
      <c r="D127">
        <v>19</v>
      </c>
      <c r="E127" t="s">
        <v>912</v>
      </c>
      <c r="F127" t="s">
        <v>916</v>
      </c>
      <c r="G127" t="s">
        <v>922</v>
      </c>
      <c r="H127">
        <v>4604.38</v>
      </c>
      <c r="I127">
        <v>1</v>
      </c>
      <c r="J127">
        <v>12</v>
      </c>
      <c r="K127" t="s">
        <v>923</v>
      </c>
      <c r="L127" t="str">
        <f>IF(ISBLANK(Table1[[#This Row],[CancelDate]]),"Active","Churned")</f>
        <v>Active</v>
      </c>
      <c r="M127">
        <f ca="1">IF(ISBLANK(Table1[[#This Row],[CancelDate]]),DATEDIF(Table1[[#This Row],[JoinDate]],TODAY(),"M"),DATEDIF(Table1[[#This Row],[JoinDate]],Table1[[#This Row],[CancelDate]],"M"))</f>
        <v>24</v>
      </c>
      <c r="N127" t="str">
        <f>IF(Table1[[#This Row],[EngagementScore]]&lt;=40,"Low",IF(Table1[[#This Row],[EngagementScore]]&lt;=70,"Medium","High"))</f>
        <v>Low</v>
      </c>
      <c r="O127" t="str">
        <f>IF(Table1[[#This Row],[Age]]&lt;25,"18-24",
IF(Table1[[#This Row],[Age]]&lt;35,"25-34",
IF(Table1[[#This Row],[Age]]&lt;45,"35-44","45+")))</f>
        <v>18-24</v>
      </c>
    </row>
    <row r="128" spans="1:15" x14ac:dyDescent="0.25">
      <c r="A128" t="s">
        <v>137</v>
      </c>
      <c r="B128" s="4">
        <v>45210</v>
      </c>
      <c r="D128">
        <v>38</v>
      </c>
      <c r="E128" t="s">
        <v>912</v>
      </c>
      <c r="F128" t="s">
        <v>916</v>
      </c>
      <c r="G128" t="s">
        <v>922</v>
      </c>
      <c r="H128">
        <v>25286.16</v>
      </c>
      <c r="I128">
        <v>20</v>
      </c>
      <c r="J128">
        <v>91</v>
      </c>
      <c r="K128" t="s">
        <v>925</v>
      </c>
      <c r="L128" t="str">
        <f>IF(ISBLANK(Table1[[#This Row],[CancelDate]]),"Active","Churned")</f>
        <v>Active</v>
      </c>
      <c r="M128">
        <f ca="1">IF(ISBLANK(Table1[[#This Row],[CancelDate]]),DATEDIF(Table1[[#This Row],[JoinDate]],TODAY(),"M"),DATEDIF(Table1[[#This Row],[JoinDate]],Table1[[#This Row],[CancelDate]],"M"))</f>
        <v>29</v>
      </c>
      <c r="N128" t="str">
        <f>IF(Table1[[#This Row],[EngagementScore]]&lt;=40,"Low",IF(Table1[[#This Row],[EngagementScore]]&lt;=70,"Medium","High"))</f>
        <v>High</v>
      </c>
      <c r="O128" t="str">
        <f>IF(Table1[[#This Row],[Age]]&lt;25,"18-24",
IF(Table1[[#This Row],[Age]]&lt;35,"25-34",
IF(Table1[[#This Row],[Age]]&lt;45,"35-44","45+")))</f>
        <v>35-44</v>
      </c>
    </row>
    <row r="129" spans="1:15" x14ac:dyDescent="0.25">
      <c r="A129" t="s">
        <v>138</v>
      </c>
      <c r="B129" s="4">
        <v>45128</v>
      </c>
      <c r="C129" s="1">
        <v>45245</v>
      </c>
      <c r="D129">
        <v>34</v>
      </c>
      <c r="E129" t="s">
        <v>911</v>
      </c>
      <c r="F129" t="s">
        <v>917</v>
      </c>
      <c r="G129" t="s">
        <v>921</v>
      </c>
      <c r="H129">
        <v>4574.72</v>
      </c>
      <c r="I129">
        <v>3</v>
      </c>
      <c r="J129">
        <v>29</v>
      </c>
      <c r="K129" t="s">
        <v>923</v>
      </c>
      <c r="L129" t="str">
        <f>IF(ISBLANK(Table1[[#This Row],[CancelDate]]),"Active","Churned")</f>
        <v>Churned</v>
      </c>
      <c r="M129">
        <f ca="1">IF(ISBLANK(Table1[[#This Row],[CancelDate]]),DATEDIF(Table1[[#This Row],[JoinDate]],TODAY(),"M"),DATEDIF(Table1[[#This Row],[JoinDate]],Table1[[#This Row],[CancelDate]],"M"))</f>
        <v>3</v>
      </c>
      <c r="N129" t="str">
        <f>IF(Table1[[#This Row],[EngagementScore]]&lt;=40,"Low",IF(Table1[[#This Row],[EngagementScore]]&lt;=70,"Medium","High"))</f>
        <v>Low</v>
      </c>
      <c r="O129" t="str">
        <f>IF(Table1[[#This Row],[Age]]&lt;25,"18-24",
IF(Table1[[#This Row],[Age]]&lt;35,"25-34",
IF(Table1[[#This Row],[Age]]&lt;45,"35-44","45+")))</f>
        <v>25-34</v>
      </c>
    </row>
    <row r="130" spans="1:15" x14ac:dyDescent="0.25">
      <c r="A130" t="s">
        <v>139</v>
      </c>
      <c r="B130" s="4">
        <v>45240</v>
      </c>
      <c r="D130">
        <v>33</v>
      </c>
      <c r="E130" t="s">
        <v>912</v>
      </c>
      <c r="F130" t="s">
        <v>916</v>
      </c>
      <c r="G130" t="s">
        <v>922</v>
      </c>
      <c r="H130">
        <v>9388.85</v>
      </c>
      <c r="I130">
        <v>10</v>
      </c>
      <c r="J130">
        <v>68</v>
      </c>
      <c r="K130" t="s">
        <v>923</v>
      </c>
      <c r="L130" t="str">
        <f>IF(ISBLANK(Table1[[#This Row],[CancelDate]]),"Active","Churned")</f>
        <v>Active</v>
      </c>
      <c r="M130">
        <f ca="1">IF(ISBLANK(Table1[[#This Row],[CancelDate]]),DATEDIF(Table1[[#This Row],[JoinDate]],TODAY(),"M"),DATEDIF(Table1[[#This Row],[JoinDate]],Table1[[#This Row],[CancelDate]],"M"))</f>
        <v>28</v>
      </c>
      <c r="N130" t="str">
        <f>IF(Table1[[#This Row],[EngagementScore]]&lt;=40,"Low",IF(Table1[[#This Row],[EngagementScore]]&lt;=70,"Medium","High"))</f>
        <v>Medium</v>
      </c>
      <c r="O130" t="str">
        <f>IF(Table1[[#This Row],[Age]]&lt;25,"18-24",
IF(Table1[[#This Row],[Age]]&lt;35,"25-34",
IF(Table1[[#This Row],[Age]]&lt;45,"35-44","45+")))</f>
        <v>25-34</v>
      </c>
    </row>
    <row r="131" spans="1:15" x14ac:dyDescent="0.25">
      <c r="A131" t="s">
        <v>140</v>
      </c>
      <c r="B131" s="4">
        <v>44935</v>
      </c>
      <c r="D131">
        <v>44</v>
      </c>
      <c r="E131" t="s">
        <v>912</v>
      </c>
      <c r="F131" t="s">
        <v>919</v>
      </c>
      <c r="G131" t="s">
        <v>922</v>
      </c>
      <c r="H131">
        <v>14988.53</v>
      </c>
      <c r="I131">
        <v>21</v>
      </c>
      <c r="J131">
        <v>78</v>
      </c>
      <c r="K131" t="s">
        <v>923</v>
      </c>
      <c r="L131" t="str">
        <f>IF(ISBLANK(Table1[[#This Row],[CancelDate]]),"Active","Churned")</f>
        <v>Active</v>
      </c>
      <c r="M131">
        <f ca="1">IF(ISBLANK(Table1[[#This Row],[CancelDate]]),DATEDIF(Table1[[#This Row],[JoinDate]],TODAY(),"M"),DATEDIF(Table1[[#This Row],[JoinDate]],Table1[[#This Row],[CancelDate]],"M"))</f>
        <v>38</v>
      </c>
      <c r="N131" t="str">
        <f>IF(Table1[[#This Row],[EngagementScore]]&lt;=40,"Low",IF(Table1[[#This Row],[EngagementScore]]&lt;=70,"Medium","High"))</f>
        <v>High</v>
      </c>
      <c r="O131" t="str">
        <f>IF(Table1[[#This Row],[Age]]&lt;25,"18-24",
IF(Table1[[#This Row],[Age]]&lt;35,"25-34",
IF(Table1[[#This Row],[Age]]&lt;45,"35-44","45+")))</f>
        <v>35-44</v>
      </c>
    </row>
    <row r="132" spans="1:15" x14ac:dyDescent="0.25">
      <c r="A132" t="s">
        <v>141</v>
      </c>
      <c r="B132" s="4">
        <v>45272</v>
      </c>
      <c r="C132" s="1">
        <v>45559</v>
      </c>
      <c r="D132">
        <v>53</v>
      </c>
      <c r="E132" t="s">
        <v>911</v>
      </c>
      <c r="F132" t="s">
        <v>914</v>
      </c>
      <c r="G132" t="s">
        <v>922</v>
      </c>
      <c r="H132">
        <v>15072.62</v>
      </c>
      <c r="I132">
        <v>28</v>
      </c>
      <c r="J132">
        <v>90</v>
      </c>
      <c r="K132" t="s">
        <v>924</v>
      </c>
      <c r="L132" t="str">
        <f>IF(ISBLANK(Table1[[#This Row],[CancelDate]]),"Active","Churned")</f>
        <v>Churned</v>
      </c>
      <c r="M132">
        <f ca="1">IF(ISBLANK(Table1[[#This Row],[CancelDate]]),DATEDIF(Table1[[#This Row],[JoinDate]],TODAY(),"M"),DATEDIF(Table1[[#This Row],[JoinDate]],Table1[[#This Row],[CancelDate]],"M"))</f>
        <v>9</v>
      </c>
      <c r="N132" t="str">
        <f>IF(Table1[[#This Row],[EngagementScore]]&lt;=40,"Low",IF(Table1[[#This Row],[EngagementScore]]&lt;=70,"Medium","High"))</f>
        <v>High</v>
      </c>
      <c r="O132" t="str">
        <f>IF(Table1[[#This Row],[Age]]&lt;25,"18-24",
IF(Table1[[#This Row],[Age]]&lt;35,"25-34",
IF(Table1[[#This Row],[Age]]&lt;45,"35-44","45+")))</f>
        <v>45+</v>
      </c>
    </row>
    <row r="133" spans="1:15" x14ac:dyDescent="0.25">
      <c r="A133" t="s">
        <v>142</v>
      </c>
      <c r="B133" s="4">
        <v>45223</v>
      </c>
      <c r="D133">
        <v>20</v>
      </c>
      <c r="E133" t="s">
        <v>912</v>
      </c>
      <c r="F133" t="s">
        <v>918</v>
      </c>
      <c r="G133" t="s">
        <v>921</v>
      </c>
      <c r="H133">
        <v>26376.99</v>
      </c>
      <c r="I133">
        <v>15</v>
      </c>
      <c r="J133">
        <v>88</v>
      </c>
      <c r="K133" t="s">
        <v>923</v>
      </c>
      <c r="L133" t="str">
        <f>IF(ISBLANK(Table1[[#This Row],[CancelDate]]),"Active","Churned")</f>
        <v>Active</v>
      </c>
      <c r="M133">
        <f ca="1">IF(ISBLANK(Table1[[#This Row],[CancelDate]]),DATEDIF(Table1[[#This Row],[JoinDate]],TODAY(),"M"),DATEDIF(Table1[[#This Row],[JoinDate]],Table1[[#This Row],[CancelDate]],"M"))</f>
        <v>29</v>
      </c>
      <c r="N133" t="str">
        <f>IF(Table1[[#This Row],[EngagementScore]]&lt;=40,"Low",IF(Table1[[#This Row],[EngagementScore]]&lt;=70,"Medium","High"))</f>
        <v>High</v>
      </c>
      <c r="O133" t="str">
        <f>IF(Table1[[#This Row],[Age]]&lt;25,"18-24",
IF(Table1[[#This Row],[Age]]&lt;35,"25-34",
IF(Table1[[#This Row],[Age]]&lt;45,"35-44","45+")))</f>
        <v>18-24</v>
      </c>
    </row>
    <row r="134" spans="1:15" x14ac:dyDescent="0.25">
      <c r="A134" t="s">
        <v>143</v>
      </c>
      <c r="B134" s="4">
        <v>44606</v>
      </c>
      <c r="C134" s="1">
        <v>44679</v>
      </c>
      <c r="D134">
        <v>37</v>
      </c>
      <c r="E134" t="s">
        <v>911</v>
      </c>
      <c r="F134" t="s">
        <v>918</v>
      </c>
      <c r="G134" t="s">
        <v>921</v>
      </c>
      <c r="H134">
        <v>10981.34</v>
      </c>
      <c r="I134">
        <v>11</v>
      </c>
      <c r="J134">
        <v>68</v>
      </c>
      <c r="K134" t="s">
        <v>925</v>
      </c>
      <c r="L134" t="str">
        <f>IF(ISBLANK(Table1[[#This Row],[CancelDate]]),"Active","Churned")</f>
        <v>Churned</v>
      </c>
      <c r="M134">
        <f ca="1">IF(ISBLANK(Table1[[#This Row],[CancelDate]]),DATEDIF(Table1[[#This Row],[JoinDate]],TODAY(),"M"),DATEDIF(Table1[[#This Row],[JoinDate]],Table1[[#This Row],[CancelDate]],"M"))</f>
        <v>2</v>
      </c>
      <c r="N134" t="str">
        <f>IF(Table1[[#This Row],[EngagementScore]]&lt;=40,"Low",IF(Table1[[#This Row],[EngagementScore]]&lt;=70,"Medium","High"))</f>
        <v>Medium</v>
      </c>
      <c r="O134" t="str">
        <f>IF(Table1[[#This Row],[Age]]&lt;25,"18-24",
IF(Table1[[#This Row],[Age]]&lt;35,"25-34",
IF(Table1[[#This Row],[Age]]&lt;45,"35-44","45+")))</f>
        <v>35-44</v>
      </c>
    </row>
    <row r="135" spans="1:15" x14ac:dyDescent="0.25">
      <c r="A135" t="s">
        <v>144</v>
      </c>
      <c r="B135" s="4">
        <v>45209</v>
      </c>
      <c r="D135">
        <v>23</v>
      </c>
      <c r="E135" t="s">
        <v>912</v>
      </c>
      <c r="F135" t="s">
        <v>916</v>
      </c>
      <c r="G135" t="s">
        <v>921</v>
      </c>
      <c r="H135">
        <v>6269.09</v>
      </c>
      <c r="I135">
        <v>7</v>
      </c>
      <c r="J135">
        <v>35</v>
      </c>
      <c r="K135" t="s">
        <v>925</v>
      </c>
      <c r="L135" t="str">
        <f>IF(ISBLANK(Table1[[#This Row],[CancelDate]]),"Active","Churned")</f>
        <v>Active</v>
      </c>
      <c r="M135">
        <f ca="1">IF(ISBLANK(Table1[[#This Row],[CancelDate]]),DATEDIF(Table1[[#This Row],[JoinDate]],TODAY(),"M"),DATEDIF(Table1[[#This Row],[JoinDate]],Table1[[#This Row],[CancelDate]],"M"))</f>
        <v>29</v>
      </c>
      <c r="N135" t="str">
        <f>IF(Table1[[#This Row],[EngagementScore]]&lt;=40,"Low",IF(Table1[[#This Row],[EngagementScore]]&lt;=70,"Medium","High"))</f>
        <v>Low</v>
      </c>
      <c r="O135" t="str">
        <f>IF(Table1[[#This Row],[Age]]&lt;25,"18-24",
IF(Table1[[#This Row],[Age]]&lt;35,"25-34",
IF(Table1[[#This Row],[Age]]&lt;45,"35-44","45+")))</f>
        <v>18-24</v>
      </c>
    </row>
    <row r="136" spans="1:15" x14ac:dyDescent="0.25">
      <c r="A136" t="s">
        <v>145</v>
      </c>
      <c r="B136" s="4">
        <v>45283</v>
      </c>
      <c r="C136" s="1">
        <v>45316</v>
      </c>
      <c r="D136">
        <v>31</v>
      </c>
      <c r="E136" t="s">
        <v>911</v>
      </c>
      <c r="F136" t="s">
        <v>914</v>
      </c>
      <c r="G136" t="s">
        <v>921</v>
      </c>
      <c r="H136">
        <v>10655.75</v>
      </c>
      <c r="I136">
        <v>13</v>
      </c>
      <c r="J136">
        <v>45</v>
      </c>
      <c r="K136" t="s">
        <v>923</v>
      </c>
      <c r="L136" t="str">
        <f>IF(ISBLANK(Table1[[#This Row],[CancelDate]]),"Active","Churned")</f>
        <v>Churned</v>
      </c>
      <c r="M136">
        <f ca="1">IF(ISBLANK(Table1[[#This Row],[CancelDate]]),DATEDIF(Table1[[#This Row],[JoinDate]],TODAY(),"M"),DATEDIF(Table1[[#This Row],[JoinDate]],Table1[[#This Row],[CancelDate]],"M"))</f>
        <v>1</v>
      </c>
      <c r="N136" t="str">
        <f>IF(Table1[[#This Row],[EngagementScore]]&lt;=40,"Low",IF(Table1[[#This Row],[EngagementScore]]&lt;=70,"Medium","High"))</f>
        <v>Medium</v>
      </c>
      <c r="O136" t="str">
        <f>IF(Table1[[#This Row],[Age]]&lt;25,"18-24",
IF(Table1[[#This Row],[Age]]&lt;35,"25-34",
IF(Table1[[#This Row],[Age]]&lt;45,"35-44","45+")))</f>
        <v>25-34</v>
      </c>
    </row>
    <row r="137" spans="1:15" x14ac:dyDescent="0.25">
      <c r="A137" t="s">
        <v>146</v>
      </c>
      <c r="B137" s="4">
        <v>45057</v>
      </c>
      <c r="D137">
        <v>20</v>
      </c>
      <c r="E137" t="s">
        <v>911</v>
      </c>
      <c r="F137" t="s">
        <v>918</v>
      </c>
      <c r="G137" t="s">
        <v>921</v>
      </c>
      <c r="H137">
        <v>2116.81</v>
      </c>
      <c r="I137">
        <v>5</v>
      </c>
      <c r="J137">
        <v>16</v>
      </c>
      <c r="K137" t="s">
        <v>925</v>
      </c>
      <c r="L137" t="str">
        <f>IF(ISBLANK(Table1[[#This Row],[CancelDate]]),"Active","Churned")</f>
        <v>Active</v>
      </c>
      <c r="M137">
        <f ca="1">IF(ISBLANK(Table1[[#This Row],[CancelDate]]),DATEDIF(Table1[[#This Row],[JoinDate]],TODAY(),"M"),DATEDIF(Table1[[#This Row],[JoinDate]],Table1[[#This Row],[CancelDate]],"M"))</f>
        <v>34</v>
      </c>
      <c r="N137" t="str">
        <f>IF(Table1[[#This Row],[EngagementScore]]&lt;=40,"Low",IF(Table1[[#This Row],[EngagementScore]]&lt;=70,"Medium","High"))</f>
        <v>Low</v>
      </c>
      <c r="O137" t="str">
        <f>IF(Table1[[#This Row],[Age]]&lt;25,"18-24",
IF(Table1[[#This Row],[Age]]&lt;35,"25-34",
IF(Table1[[#This Row],[Age]]&lt;45,"35-44","45+")))</f>
        <v>18-24</v>
      </c>
    </row>
    <row r="138" spans="1:15" x14ac:dyDescent="0.25">
      <c r="A138" t="s">
        <v>147</v>
      </c>
      <c r="B138" s="4">
        <v>44759</v>
      </c>
      <c r="D138">
        <v>50</v>
      </c>
      <c r="E138" t="s">
        <v>911</v>
      </c>
      <c r="F138" t="s">
        <v>917</v>
      </c>
      <c r="G138" t="s">
        <v>921</v>
      </c>
      <c r="H138">
        <v>6300.87</v>
      </c>
      <c r="I138">
        <v>3</v>
      </c>
      <c r="J138">
        <v>17</v>
      </c>
      <c r="K138" t="s">
        <v>925</v>
      </c>
      <c r="L138" t="str">
        <f>IF(ISBLANK(Table1[[#This Row],[CancelDate]]),"Active","Churned")</f>
        <v>Active</v>
      </c>
      <c r="M138">
        <f ca="1">IF(ISBLANK(Table1[[#This Row],[CancelDate]]),DATEDIF(Table1[[#This Row],[JoinDate]],TODAY(),"M"),DATEDIF(Table1[[#This Row],[JoinDate]],Table1[[#This Row],[CancelDate]],"M"))</f>
        <v>44</v>
      </c>
      <c r="N138" t="str">
        <f>IF(Table1[[#This Row],[EngagementScore]]&lt;=40,"Low",IF(Table1[[#This Row],[EngagementScore]]&lt;=70,"Medium","High"))</f>
        <v>Low</v>
      </c>
      <c r="O138" t="str">
        <f>IF(Table1[[#This Row],[Age]]&lt;25,"18-24",
IF(Table1[[#This Row],[Age]]&lt;35,"25-34",
IF(Table1[[#This Row],[Age]]&lt;45,"35-44","45+")))</f>
        <v>45+</v>
      </c>
    </row>
    <row r="139" spans="1:15" x14ac:dyDescent="0.25">
      <c r="A139" t="s">
        <v>148</v>
      </c>
      <c r="B139" s="4">
        <v>44662</v>
      </c>
      <c r="C139" s="1">
        <v>44892</v>
      </c>
      <c r="D139">
        <v>58</v>
      </c>
      <c r="E139" t="s">
        <v>912</v>
      </c>
      <c r="F139" t="s">
        <v>917</v>
      </c>
      <c r="G139" t="s">
        <v>922</v>
      </c>
      <c r="H139">
        <v>7532.76</v>
      </c>
      <c r="I139">
        <v>1</v>
      </c>
      <c r="J139">
        <v>10</v>
      </c>
      <c r="K139" t="s">
        <v>923</v>
      </c>
      <c r="L139" t="str">
        <f>IF(ISBLANK(Table1[[#This Row],[CancelDate]]),"Active","Churned")</f>
        <v>Churned</v>
      </c>
      <c r="M139">
        <f ca="1">IF(ISBLANK(Table1[[#This Row],[CancelDate]]),DATEDIF(Table1[[#This Row],[JoinDate]],TODAY(),"M"),DATEDIF(Table1[[#This Row],[JoinDate]],Table1[[#This Row],[CancelDate]],"M"))</f>
        <v>7</v>
      </c>
      <c r="N139" t="str">
        <f>IF(Table1[[#This Row],[EngagementScore]]&lt;=40,"Low",IF(Table1[[#This Row],[EngagementScore]]&lt;=70,"Medium","High"))</f>
        <v>Low</v>
      </c>
      <c r="O139" t="str">
        <f>IF(Table1[[#This Row],[Age]]&lt;25,"18-24",
IF(Table1[[#This Row],[Age]]&lt;35,"25-34",
IF(Table1[[#This Row],[Age]]&lt;45,"35-44","45+")))</f>
        <v>45+</v>
      </c>
    </row>
    <row r="140" spans="1:15" x14ac:dyDescent="0.25">
      <c r="A140" t="s">
        <v>149</v>
      </c>
      <c r="B140" s="4">
        <v>44742</v>
      </c>
      <c r="C140" s="1">
        <v>45064</v>
      </c>
      <c r="D140">
        <v>56</v>
      </c>
      <c r="E140" t="s">
        <v>911</v>
      </c>
      <c r="F140" t="s">
        <v>916</v>
      </c>
      <c r="G140" t="s">
        <v>921</v>
      </c>
      <c r="H140">
        <v>8708.77</v>
      </c>
      <c r="I140">
        <v>7</v>
      </c>
      <c r="J140">
        <v>64</v>
      </c>
      <c r="K140" t="s">
        <v>923</v>
      </c>
      <c r="L140" t="str">
        <f>IF(ISBLANK(Table1[[#This Row],[CancelDate]]),"Active","Churned")</f>
        <v>Churned</v>
      </c>
      <c r="M140">
        <f ca="1">IF(ISBLANK(Table1[[#This Row],[CancelDate]]),DATEDIF(Table1[[#This Row],[JoinDate]],TODAY(),"M"),DATEDIF(Table1[[#This Row],[JoinDate]],Table1[[#This Row],[CancelDate]],"M"))</f>
        <v>10</v>
      </c>
      <c r="N140" t="str">
        <f>IF(Table1[[#This Row],[EngagementScore]]&lt;=40,"Low",IF(Table1[[#This Row],[EngagementScore]]&lt;=70,"Medium","High"))</f>
        <v>Medium</v>
      </c>
      <c r="O140" t="str">
        <f>IF(Table1[[#This Row],[Age]]&lt;25,"18-24",
IF(Table1[[#This Row],[Age]]&lt;35,"25-34",
IF(Table1[[#This Row],[Age]]&lt;45,"35-44","45+")))</f>
        <v>45+</v>
      </c>
    </row>
    <row r="141" spans="1:15" x14ac:dyDescent="0.25">
      <c r="A141" t="s">
        <v>150</v>
      </c>
      <c r="B141" s="4">
        <v>44731</v>
      </c>
      <c r="D141">
        <v>49</v>
      </c>
      <c r="E141" t="s">
        <v>912</v>
      </c>
      <c r="F141" t="s">
        <v>915</v>
      </c>
      <c r="G141" t="s">
        <v>920</v>
      </c>
      <c r="H141">
        <v>28458.98</v>
      </c>
      <c r="I141">
        <v>20</v>
      </c>
      <c r="J141">
        <v>95</v>
      </c>
      <c r="K141" t="s">
        <v>923</v>
      </c>
      <c r="L141" t="str">
        <f>IF(ISBLANK(Table1[[#This Row],[CancelDate]]),"Active","Churned")</f>
        <v>Active</v>
      </c>
      <c r="M141">
        <f ca="1">IF(ISBLANK(Table1[[#This Row],[CancelDate]]),DATEDIF(Table1[[#This Row],[JoinDate]],TODAY(),"M"),DATEDIF(Table1[[#This Row],[JoinDate]],Table1[[#This Row],[CancelDate]],"M"))</f>
        <v>45</v>
      </c>
      <c r="N141" t="str">
        <f>IF(Table1[[#This Row],[EngagementScore]]&lt;=40,"Low",IF(Table1[[#This Row],[EngagementScore]]&lt;=70,"Medium","High"))</f>
        <v>High</v>
      </c>
      <c r="O141" t="str">
        <f>IF(Table1[[#This Row],[Age]]&lt;25,"18-24",
IF(Table1[[#This Row],[Age]]&lt;35,"25-34",
IF(Table1[[#This Row],[Age]]&lt;45,"35-44","45+")))</f>
        <v>45+</v>
      </c>
    </row>
    <row r="142" spans="1:15" x14ac:dyDescent="0.25">
      <c r="A142" t="s">
        <v>151</v>
      </c>
      <c r="B142" s="4">
        <v>44591</v>
      </c>
      <c r="C142" s="1">
        <v>44719</v>
      </c>
      <c r="D142">
        <v>29</v>
      </c>
      <c r="E142" t="s">
        <v>911</v>
      </c>
      <c r="F142" t="s">
        <v>916</v>
      </c>
      <c r="G142" t="s">
        <v>921</v>
      </c>
      <c r="H142">
        <v>6618.53</v>
      </c>
      <c r="I142">
        <v>4</v>
      </c>
      <c r="J142">
        <v>10</v>
      </c>
      <c r="K142" t="s">
        <v>924</v>
      </c>
      <c r="L142" t="str">
        <f>IF(ISBLANK(Table1[[#This Row],[CancelDate]]),"Active","Churned")</f>
        <v>Churned</v>
      </c>
      <c r="M142">
        <f ca="1">IF(ISBLANK(Table1[[#This Row],[CancelDate]]),DATEDIF(Table1[[#This Row],[JoinDate]],TODAY(),"M"),DATEDIF(Table1[[#This Row],[JoinDate]],Table1[[#This Row],[CancelDate]],"M"))</f>
        <v>4</v>
      </c>
      <c r="N142" t="str">
        <f>IF(Table1[[#This Row],[EngagementScore]]&lt;=40,"Low",IF(Table1[[#This Row],[EngagementScore]]&lt;=70,"Medium","High"))</f>
        <v>Low</v>
      </c>
      <c r="O142" t="str">
        <f>IF(Table1[[#This Row],[Age]]&lt;25,"18-24",
IF(Table1[[#This Row],[Age]]&lt;35,"25-34",
IF(Table1[[#This Row],[Age]]&lt;45,"35-44","45+")))</f>
        <v>25-34</v>
      </c>
    </row>
    <row r="143" spans="1:15" x14ac:dyDescent="0.25">
      <c r="A143" t="s">
        <v>152</v>
      </c>
      <c r="B143" s="4">
        <v>44844</v>
      </c>
      <c r="D143">
        <v>40</v>
      </c>
      <c r="E143" t="s">
        <v>911</v>
      </c>
      <c r="F143" t="s">
        <v>916</v>
      </c>
      <c r="G143" t="s">
        <v>921</v>
      </c>
      <c r="H143">
        <v>27063.41</v>
      </c>
      <c r="I143">
        <v>24</v>
      </c>
      <c r="J143">
        <v>87</v>
      </c>
      <c r="K143" t="s">
        <v>923</v>
      </c>
      <c r="L143" t="str">
        <f>IF(ISBLANK(Table1[[#This Row],[CancelDate]]),"Active","Churned")</f>
        <v>Active</v>
      </c>
      <c r="M143">
        <f ca="1">IF(ISBLANK(Table1[[#This Row],[CancelDate]]),DATEDIF(Table1[[#This Row],[JoinDate]],TODAY(),"M"),DATEDIF(Table1[[#This Row],[JoinDate]],Table1[[#This Row],[CancelDate]],"M"))</f>
        <v>41</v>
      </c>
      <c r="N143" t="str">
        <f>IF(Table1[[#This Row],[EngagementScore]]&lt;=40,"Low",IF(Table1[[#This Row],[EngagementScore]]&lt;=70,"Medium","High"))</f>
        <v>High</v>
      </c>
      <c r="O143" t="str">
        <f>IF(Table1[[#This Row],[Age]]&lt;25,"18-24",
IF(Table1[[#This Row],[Age]]&lt;35,"25-34",
IF(Table1[[#This Row],[Age]]&lt;45,"35-44","45+")))</f>
        <v>35-44</v>
      </c>
    </row>
    <row r="144" spans="1:15" x14ac:dyDescent="0.25">
      <c r="A144" t="s">
        <v>153</v>
      </c>
      <c r="B144" s="4">
        <v>45394</v>
      </c>
      <c r="C144" s="1">
        <v>45603</v>
      </c>
      <c r="D144">
        <v>18</v>
      </c>
      <c r="E144" t="s">
        <v>912</v>
      </c>
      <c r="F144" t="s">
        <v>917</v>
      </c>
      <c r="G144" t="s">
        <v>921</v>
      </c>
      <c r="H144">
        <v>6569.81</v>
      </c>
      <c r="I144">
        <v>4</v>
      </c>
      <c r="J144">
        <v>36</v>
      </c>
      <c r="K144" t="s">
        <v>925</v>
      </c>
      <c r="L144" t="str">
        <f>IF(ISBLANK(Table1[[#This Row],[CancelDate]]),"Active","Churned")</f>
        <v>Churned</v>
      </c>
      <c r="M144">
        <f ca="1">IF(ISBLANK(Table1[[#This Row],[CancelDate]]),DATEDIF(Table1[[#This Row],[JoinDate]],TODAY(),"M"),DATEDIF(Table1[[#This Row],[JoinDate]],Table1[[#This Row],[CancelDate]],"M"))</f>
        <v>6</v>
      </c>
      <c r="N144" t="str">
        <f>IF(Table1[[#This Row],[EngagementScore]]&lt;=40,"Low",IF(Table1[[#This Row],[EngagementScore]]&lt;=70,"Medium","High"))</f>
        <v>Low</v>
      </c>
      <c r="O144" t="str">
        <f>IF(Table1[[#This Row],[Age]]&lt;25,"18-24",
IF(Table1[[#This Row],[Age]]&lt;35,"25-34",
IF(Table1[[#This Row],[Age]]&lt;45,"35-44","45+")))</f>
        <v>18-24</v>
      </c>
    </row>
    <row r="145" spans="1:15" x14ac:dyDescent="0.25">
      <c r="A145" t="s">
        <v>154</v>
      </c>
      <c r="B145" s="4">
        <v>45326</v>
      </c>
      <c r="D145">
        <v>39</v>
      </c>
      <c r="E145" t="s">
        <v>912</v>
      </c>
      <c r="F145" t="s">
        <v>914</v>
      </c>
      <c r="G145" t="s">
        <v>920</v>
      </c>
      <c r="H145">
        <v>5816.95</v>
      </c>
      <c r="I145">
        <v>7</v>
      </c>
      <c r="J145">
        <v>68</v>
      </c>
      <c r="K145" t="s">
        <v>913</v>
      </c>
      <c r="L145" t="str">
        <f>IF(ISBLANK(Table1[[#This Row],[CancelDate]]),"Active","Churned")</f>
        <v>Active</v>
      </c>
      <c r="M145">
        <f ca="1">IF(ISBLANK(Table1[[#This Row],[CancelDate]]),DATEDIF(Table1[[#This Row],[JoinDate]],TODAY(),"M"),DATEDIF(Table1[[#This Row],[JoinDate]],Table1[[#This Row],[CancelDate]],"M"))</f>
        <v>25</v>
      </c>
      <c r="N145" t="str">
        <f>IF(Table1[[#This Row],[EngagementScore]]&lt;=40,"Low",IF(Table1[[#This Row],[EngagementScore]]&lt;=70,"Medium","High"))</f>
        <v>Medium</v>
      </c>
      <c r="O145" t="str">
        <f>IF(Table1[[#This Row],[Age]]&lt;25,"18-24",
IF(Table1[[#This Row],[Age]]&lt;35,"25-34",
IF(Table1[[#This Row],[Age]]&lt;45,"35-44","45+")))</f>
        <v>35-44</v>
      </c>
    </row>
    <row r="146" spans="1:15" x14ac:dyDescent="0.25">
      <c r="A146" t="s">
        <v>155</v>
      </c>
      <c r="B146" s="4">
        <v>44752</v>
      </c>
      <c r="D146">
        <v>19</v>
      </c>
      <c r="E146" t="s">
        <v>911</v>
      </c>
      <c r="F146" t="s">
        <v>915</v>
      </c>
      <c r="G146" t="s">
        <v>921</v>
      </c>
      <c r="H146">
        <v>7654.32</v>
      </c>
      <c r="I146">
        <v>12</v>
      </c>
      <c r="J146">
        <v>52</v>
      </c>
      <c r="K146" t="s">
        <v>925</v>
      </c>
      <c r="L146" t="str">
        <f>IF(ISBLANK(Table1[[#This Row],[CancelDate]]),"Active","Churned")</f>
        <v>Active</v>
      </c>
      <c r="M146">
        <f ca="1">IF(ISBLANK(Table1[[#This Row],[CancelDate]]),DATEDIF(Table1[[#This Row],[JoinDate]],TODAY(),"M"),DATEDIF(Table1[[#This Row],[JoinDate]],Table1[[#This Row],[CancelDate]],"M"))</f>
        <v>44</v>
      </c>
      <c r="N146" t="str">
        <f>IF(Table1[[#This Row],[EngagementScore]]&lt;=40,"Low",IF(Table1[[#This Row],[EngagementScore]]&lt;=70,"Medium","High"))</f>
        <v>Medium</v>
      </c>
      <c r="O146" t="str">
        <f>IF(Table1[[#This Row],[Age]]&lt;25,"18-24",
IF(Table1[[#This Row],[Age]]&lt;35,"25-34",
IF(Table1[[#This Row],[Age]]&lt;45,"35-44","45+")))</f>
        <v>18-24</v>
      </c>
    </row>
    <row r="147" spans="1:15" x14ac:dyDescent="0.25">
      <c r="A147" t="s">
        <v>156</v>
      </c>
      <c r="B147" s="4">
        <v>45288</v>
      </c>
      <c r="C147" s="1">
        <v>45614</v>
      </c>
      <c r="D147">
        <v>32</v>
      </c>
      <c r="E147" t="s">
        <v>911</v>
      </c>
      <c r="F147" t="s">
        <v>916</v>
      </c>
      <c r="G147" t="s">
        <v>922</v>
      </c>
      <c r="H147">
        <v>13574.33</v>
      </c>
      <c r="I147">
        <v>7</v>
      </c>
      <c r="J147">
        <v>49</v>
      </c>
      <c r="K147" t="s">
        <v>925</v>
      </c>
      <c r="L147" t="str">
        <f>IF(ISBLANK(Table1[[#This Row],[CancelDate]]),"Active","Churned")</f>
        <v>Churned</v>
      </c>
      <c r="M147">
        <f ca="1">IF(ISBLANK(Table1[[#This Row],[CancelDate]]),DATEDIF(Table1[[#This Row],[JoinDate]],TODAY(),"M"),DATEDIF(Table1[[#This Row],[JoinDate]],Table1[[#This Row],[CancelDate]],"M"))</f>
        <v>10</v>
      </c>
      <c r="N147" t="str">
        <f>IF(Table1[[#This Row],[EngagementScore]]&lt;=40,"Low",IF(Table1[[#This Row],[EngagementScore]]&lt;=70,"Medium","High"))</f>
        <v>Medium</v>
      </c>
      <c r="O147" t="str">
        <f>IF(Table1[[#This Row],[Age]]&lt;25,"18-24",
IF(Table1[[#This Row],[Age]]&lt;35,"25-34",
IF(Table1[[#This Row],[Age]]&lt;45,"35-44","45+")))</f>
        <v>25-34</v>
      </c>
    </row>
    <row r="148" spans="1:15" x14ac:dyDescent="0.25">
      <c r="A148" t="s">
        <v>157</v>
      </c>
      <c r="B148" s="4">
        <v>45300</v>
      </c>
      <c r="C148" s="1">
        <v>45331</v>
      </c>
      <c r="D148">
        <v>36</v>
      </c>
      <c r="E148" t="s">
        <v>912</v>
      </c>
      <c r="F148" t="s">
        <v>918</v>
      </c>
      <c r="G148" t="s">
        <v>921</v>
      </c>
      <c r="H148">
        <v>2301.67</v>
      </c>
      <c r="I148">
        <v>7</v>
      </c>
      <c r="J148">
        <v>11</v>
      </c>
      <c r="K148" t="s">
        <v>925</v>
      </c>
      <c r="L148" t="str">
        <f>IF(ISBLANK(Table1[[#This Row],[CancelDate]]),"Active","Churned")</f>
        <v>Churned</v>
      </c>
      <c r="M148">
        <f ca="1">IF(ISBLANK(Table1[[#This Row],[CancelDate]]),DATEDIF(Table1[[#This Row],[JoinDate]],TODAY(),"M"),DATEDIF(Table1[[#This Row],[JoinDate]],Table1[[#This Row],[CancelDate]],"M"))</f>
        <v>1</v>
      </c>
      <c r="N148" t="str">
        <f>IF(Table1[[#This Row],[EngagementScore]]&lt;=40,"Low",IF(Table1[[#This Row],[EngagementScore]]&lt;=70,"Medium","High"))</f>
        <v>Low</v>
      </c>
      <c r="O148" t="str">
        <f>IF(Table1[[#This Row],[Age]]&lt;25,"18-24",
IF(Table1[[#This Row],[Age]]&lt;35,"25-34",
IF(Table1[[#This Row],[Age]]&lt;45,"35-44","45+")))</f>
        <v>35-44</v>
      </c>
    </row>
    <row r="149" spans="1:15" x14ac:dyDescent="0.25">
      <c r="A149" t="s">
        <v>158</v>
      </c>
      <c r="B149" s="4">
        <v>44574</v>
      </c>
      <c r="D149">
        <v>53</v>
      </c>
      <c r="E149" t="s">
        <v>911</v>
      </c>
      <c r="F149" t="s">
        <v>915</v>
      </c>
      <c r="G149" t="s">
        <v>922</v>
      </c>
      <c r="H149">
        <v>21400.04</v>
      </c>
      <c r="I149">
        <v>29</v>
      </c>
      <c r="J149">
        <v>83</v>
      </c>
      <c r="K149" t="s">
        <v>923</v>
      </c>
      <c r="L149" t="str">
        <f>IF(ISBLANK(Table1[[#This Row],[CancelDate]]),"Active","Churned")</f>
        <v>Active</v>
      </c>
      <c r="M149">
        <f ca="1">IF(ISBLANK(Table1[[#This Row],[CancelDate]]),DATEDIF(Table1[[#This Row],[JoinDate]],TODAY(),"M"),DATEDIF(Table1[[#This Row],[JoinDate]],Table1[[#This Row],[CancelDate]],"M"))</f>
        <v>50</v>
      </c>
      <c r="N149" t="str">
        <f>IF(Table1[[#This Row],[EngagementScore]]&lt;=40,"Low",IF(Table1[[#This Row],[EngagementScore]]&lt;=70,"Medium","High"))</f>
        <v>High</v>
      </c>
      <c r="O149" t="str">
        <f>IF(Table1[[#This Row],[Age]]&lt;25,"18-24",
IF(Table1[[#This Row],[Age]]&lt;35,"25-34",
IF(Table1[[#This Row],[Age]]&lt;45,"35-44","45+")))</f>
        <v>45+</v>
      </c>
    </row>
    <row r="150" spans="1:15" x14ac:dyDescent="0.25">
      <c r="A150" t="s">
        <v>159</v>
      </c>
      <c r="B150" s="4">
        <v>45208</v>
      </c>
      <c r="D150">
        <v>28</v>
      </c>
      <c r="E150" t="s">
        <v>911</v>
      </c>
      <c r="F150" t="s">
        <v>919</v>
      </c>
      <c r="G150" t="s">
        <v>921</v>
      </c>
      <c r="H150">
        <v>22867.02</v>
      </c>
      <c r="I150">
        <v>29</v>
      </c>
      <c r="J150">
        <v>82</v>
      </c>
      <c r="K150" t="s">
        <v>923</v>
      </c>
      <c r="L150" t="str">
        <f>IF(ISBLANK(Table1[[#This Row],[CancelDate]]),"Active","Churned")</f>
        <v>Active</v>
      </c>
      <c r="M150">
        <f ca="1">IF(ISBLANK(Table1[[#This Row],[CancelDate]]),DATEDIF(Table1[[#This Row],[JoinDate]],TODAY(),"M"),DATEDIF(Table1[[#This Row],[JoinDate]],Table1[[#This Row],[CancelDate]],"M"))</f>
        <v>29</v>
      </c>
      <c r="N150" t="str">
        <f>IF(Table1[[#This Row],[EngagementScore]]&lt;=40,"Low",IF(Table1[[#This Row],[EngagementScore]]&lt;=70,"Medium","High"))</f>
        <v>High</v>
      </c>
      <c r="O150" t="str">
        <f>IF(Table1[[#This Row],[Age]]&lt;25,"18-24",
IF(Table1[[#This Row],[Age]]&lt;35,"25-34",
IF(Table1[[#This Row],[Age]]&lt;45,"35-44","45+")))</f>
        <v>25-34</v>
      </c>
    </row>
    <row r="151" spans="1:15" x14ac:dyDescent="0.25">
      <c r="A151" t="s">
        <v>160</v>
      </c>
      <c r="B151" s="4">
        <v>45050</v>
      </c>
      <c r="C151" s="1">
        <v>45095</v>
      </c>
      <c r="D151">
        <v>52</v>
      </c>
      <c r="E151" t="s">
        <v>912</v>
      </c>
      <c r="F151" t="s">
        <v>919</v>
      </c>
      <c r="G151" t="s">
        <v>920</v>
      </c>
      <c r="H151">
        <v>4102.1400000000003</v>
      </c>
      <c r="I151">
        <v>5</v>
      </c>
      <c r="J151">
        <v>18</v>
      </c>
      <c r="K151" t="s">
        <v>925</v>
      </c>
      <c r="L151" t="str">
        <f>IF(ISBLANK(Table1[[#This Row],[CancelDate]]),"Active","Churned")</f>
        <v>Churned</v>
      </c>
      <c r="M151">
        <f ca="1">IF(ISBLANK(Table1[[#This Row],[CancelDate]]),DATEDIF(Table1[[#This Row],[JoinDate]],TODAY(),"M"),DATEDIF(Table1[[#This Row],[JoinDate]],Table1[[#This Row],[CancelDate]],"M"))</f>
        <v>1</v>
      </c>
      <c r="N151" t="str">
        <f>IF(Table1[[#This Row],[EngagementScore]]&lt;=40,"Low",IF(Table1[[#This Row],[EngagementScore]]&lt;=70,"Medium","High"))</f>
        <v>Low</v>
      </c>
      <c r="O151" t="str">
        <f>IF(Table1[[#This Row],[Age]]&lt;25,"18-24",
IF(Table1[[#This Row],[Age]]&lt;35,"25-34",
IF(Table1[[#This Row],[Age]]&lt;45,"35-44","45+")))</f>
        <v>45+</v>
      </c>
    </row>
    <row r="152" spans="1:15" x14ac:dyDescent="0.25">
      <c r="A152" t="s">
        <v>161</v>
      </c>
      <c r="B152" s="4">
        <v>45005</v>
      </c>
      <c r="D152">
        <v>24</v>
      </c>
      <c r="E152" t="s">
        <v>911</v>
      </c>
      <c r="F152" t="s">
        <v>916</v>
      </c>
      <c r="G152" t="s">
        <v>921</v>
      </c>
      <c r="H152">
        <v>11499.99</v>
      </c>
      <c r="I152">
        <v>7</v>
      </c>
      <c r="J152">
        <v>41</v>
      </c>
      <c r="K152" t="s">
        <v>924</v>
      </c>
      <c r="L152" t="str">
        <f>IF(ISBLANK(Table1[[#This Row],[CancelDate]]),"Active","Churned")</f>
        <v>Active</v>
      </c>
      <c r="M152">
        <f ca="1">IF(ISBLANK(Table1[[#This Row],[CancelDate]]),DATEDIF(Table1[[#This Row],[JoinDate]],TODAY(),"M"),DATEDIF(Table1[[#This Row],[JoinDate]],Table1[[#This Row],[CancelDate]],"M"))</f>
        <v>36</v>
      </c>
      <c r="N152" t="str">
        <f>IF(Table1[[#This Row],[EngagementScore]]&lt;=40,"Low",IF(Table1[[#This Row],[EngagementScore]]&lt;=70,"Medium","High"))</f>
        <v>Medium</v>
      </c>
      <c r="O152" t="str">
        <f>IF(Table1[[#This Row],[Age]]&lt;25,"18-24",
IF(Table1[[#This Row],[Age]]&lt;35,"25-34",
IF(Table1[[#This Row],[Age]]&lt;45,"35-44","45+")))</f>
        <v>18-24</v>
      </c>
    </row>
    <row r="153" spans="1:15" x14ac:dyDescent="0.25">
      <c r="A153" t="s">
        <v>162</v>
      </c>
      <c r="B153" s="4">
        <v>44668</v>
      </c>
      <c r="D153">
        <v>28</v>
      </c>
      <c r="E153" t="s">
        <v>911</v>
      </c>
      <c r="F153" t="s">
        <v>918</v>
      </c>
      <c r="G153" t="s">
        <v>920</v>
      </c>
      <c r="H153">
        <v>12876.67</v>
      </c>
      <c r="I153">
        <v>27</v>
      </c>
      <c r="J153">
        <v>96</v>
      </c>
      <c r="K153" t="s">
        <v>925</v>
      </c>
      <c r="L153" t="str">
        <f>IF(ISBLANK(Table1[[#This Row],[CancelDate]]),"Active","Churned")</f>
        <v>Active</v>
      </c>
      <c r="M153">
        <f ca="1">IF(ISBLANK(Table1[[#This Row],[CancelDate]]),DATEDIF(Table1[[#This Row],[JoinDate]],TODAY(),"M"),DATEDIF(Table1[[#This Row],[JoinDate]],Table1[[#This Row],[CancelDate]],"M"))</f>
        <v>47</v>
      </c>
      <c r="N153" t="str">
        <f>IF(Table1[[#This Row],[EngagementScore]]&lt;=40,"Low",IF(Table1[[#This Row],[EngagementScore]]&lt;=70,"Medium","High"))</f>
        <v>High</v>
      </c>
      <c r="O153" t="str">
        <f>IF(Table1[[#This Row],[Age]]&lt;25,"18-24",
IF(Table1[[#This Row],[Age]]&lt;35,"25-34",
IF(Table1[[#This Row],[Age]]&lt;45,"35-44","45+")))</f>
        <v>25-34</v>
      </c>
    </row>
    <row r="154" spans="1:15" x14ac:dyDescent="0.25">
      <c r="A154" t="s">
        <v>163</v>
      </c>
      <c r="B154" s="4">
        <v>45184</v>
      </c>
      <c r="C154" s="1">
        <v>45547</v>
      </c>
      <c r="D154">
        <v>44</v>
      </c>
      <c r="E154" t="s">
        <v>912</v>
      </c>
      <c r="F154" t="s">
        <v>917</v>
      </c>
      <c r="G154" t="s">
        <v>922</v>
      </c>
      <c r="H154">
        <v>7134.82</v>
      </c>
      <c r="I154">
        <v>2</v>
      </c>
      <c r="J154">
        <v>16</v>
      </c>
      <c r="K154" t="s">
        <v>924</v>
      </c>
      <c r="L154" t="str">
        <f>IF(ISBLANK(Table1[[#This Row],[CancelDate]]),"Active","Churned")</f>
        <v>Churned</v>
      </c>
      <c r="M154">
        <f ca="1">IF(ISBLANK(Table1[[#This Row],[CancelDate]]),DATEDIF(Table1[[#This Row],[JoinDate]],TODAY(),"M"),DATEDIF(Table1[[#This Row],[JoinDate]],Table1[[#This Row],[CancelDate]],"M"))</f>
        <v>11</v>
      </c>
      <c r="N154" t="str">
        <f>IF(Table1[[#This Row],[EngagementScore]]&lt;=40,"Low",IF(Table1[[#This Row],[EngagementScore]]&lt;=70,"Medium","High"))</f>
        <v>Low</v>
      </c>
      <c r="O154" t="str">
        <f>IF(Table1[[#This Row],[Age]]&lt;25,"18-24",
IF(Table1[[#This Row],[Age]]&lt;35,"25-34",
IF(Table1[[#This Row],[Age]]&lt;45,"35-44","45+")))</f>
        <v>35-44</v>
      </c>
    </row>
    <row r="155" spans="1:15" x14ac:dyDescent="0.25">
      <c r="A155" t="s">
        <v>164</v>
      </c>
      <c r="B155" s="4">
        <v>45446</v>
      </c>
      <c r="D155">
        <v>32</v>
      </c>
      <c r="E155" t="s">
        <v>912</v>
      </c>
      <c r="F155" t="s">
        <v>916</v>
      </c>
      <c r="G155" t="s">
        <v>922</v>
      </c>
      <c r="H155">
        <v>4551.08</v>
      </c>
      <c r="I155">
        <v>7</v>
      </c>
      <c r="J155">
        <v>19</v>
      </c>
      <c r="K155" t="s">
        <v>923</v>
      </c>
      <c r="L155" t="str">
        <f>IF(ISBLANK(Table1[[#This Row],[CancelDate]]),"Active","Churned")</f>
        <v>Active</v>
      </c>
      <c r="M155">
        <f ca="1">IF(ISBLANK(Table1[[#This Row],[CancelDate]]),DATEDIF(Table1[[#This Row],[JoinDate]],TODAY(),"M"),DATEDIF(Table1[[#This Row],[JoinDate]],Table1[[#This Row],[CancelDate]],"M"))</f>
        <v>21</v>
      </c>
      <c r="N155" t="str">
        <f>IF(Table1[[#This Row],[EngagementScore]]&lt;=40,"Low",IF(Table1[[#This Row],[EngagementScore]]&lt;=70,"Medium","High"))</f>
        <v>Low</v>
      </c>
      <c r="O155" t="str">
        <f>IF(Table1[[#This Row],[Age]]&lt;25,"18-24",
IF(Table1[[#This Row],[Age]]&lt;35,"25-34",
IF(Table1[[#This Row],[Age]]&lt;45,"35-44","45+")))</f>
        <v>25-34</v>
      </c>
    </row>
    <row r="156" spans="1:15" x14ac:dyDescent="0.25">
      <c r="A156" t="s">
        <v>165</v>
      </c>
      <c r="B156" s="4">
        <v>45059</v>
      </c>
      <c r="D156">
        <v>25</v>
      </c>
      <c r="E156" t="s">
        <v>912</v>
      </c>
      <c r="F156" t="s">
        <v>915</v>
      </c>
      <c r="G156" t="s">
        <v>921</v>
      </c>
      <c r="H156">
        <v>17731.62</v>
      </c>
      <c r="I156">
        <v>24</v>
      </c>
      <c r="J156">
        <v>93</v>
      </c>
      <c r="K156" t="s">
        <v>925</v>
      </c>
      <c r="L156" t="str">
        <f>IF(ISBLANK(Table1[[#This Row],[CancelDate]]),"Active","Churned")</f>
        <v>Active</v>
      </c>
      <c r="M156">
        <f ca="1">IF(ISBLANK(Table1[[#This Row],[CancelDate]]),DATEDIF(Table1[[#This Row],[JoinDate]],TODAY(),"M"),DATEDIF(Table1[[#This Row],[JoinDate]],Table1[[#This Row],[CancelDate]],"M"))</f>
        <v>34</v>
      </c>
      <c r="N156" t="str">
        <f>IF(Table1[[#This Row],[EngagementScore]]&lt;=40,"Low",IF(Table1[[#This Row],[EngagementScore]]&lt;=70,"Medium","High"))</f>
        <v>High</v>
      </c>
      <c r="O156" t="str">
        <f>IF(Table1[[#This Row],[Age]]&lt;25,"18-24",
IF(Table1[[#This Row],[Age]]&lt;35,"25-34",
IF(Table1[[#This Row],[Age]]&lt;45,"35-44","45+")))</f>
        <v>25-34</v>
      </c>
    </row>
    <row r="157" spans="1:15" x14ac:dyDescent="0.25">
      <c r="A157" t="s">
        <v>166</v>
      </c>
      <c r="B157" s="4">
        <v>44911</v>
      </c>
      <c r="C157" s="1">
        <v>45219</v>
      </c>
      <c r="D157">
        <v>47</v>
      </c>
      <c r="E157" t="s">
        <v>912</v>
      </c>
      <c r="F157" t="s">
        <v>918</v>
      </c>
      <c r="G157" t="s">
        <v>922</v>
      </c>
      <c r="H157">
        <v>7790.76</v>
      </c>
      <c r="I157">
        <v>13</v>
      </c>
      <c r="J157">
        <v>45</v>
      </c>
      <c r="K157" t="s">
        <v>925</v>
      </c>
      <c r="L157" t="str">
        <f>IF(ISBLANK(Table1[[#This Row],[CancelDate]]),"Active","Churned")</f>
        <v>Churned</v>
      </c>
      <c r="M157">
        <f ca="1">IF(ISBLANK(Table1[[#This Row],[CancelDate]]),DATEDIF(Table1[[#This Row],[JoinDate]],TODAY(),"M"),DATEDIF(Table1[[#This Row],[JoinDate]],Table1[[#This Row],[CancelDate]],"M"))</f>
        <v>10</v>
      </c>
      <c r="N157" t="str">
        <f>IF(Table1[[#This Row],[EngagementScore]]&lt;=40,"Low",IF(Table1[[#This Row],[EngagementScore]]&lt;=70,"Medium","High"))</f>
        <v>Medium</v>
      </c>
      <c r="O157" t="str">
        <f>IF(Table1[[#This Row],[Age]]&lt;25,"18-24",
IF(Table1[[#This Row],[Age]]&lt;35,"25-34",
IF(Table1[[#This Row],[Age]]&lt;45,"35-44","45+")))</f>
        <v>45+</v>
      </c>
    </row>
    <row r="158" spans="1:15" x14ac:dyDescent="0.25">
      <c r="A158" t="s">
        <v>167</v>
      </c>
      <c r="B158" s="4">
        <v>45048</v>
      </c>
      <c r="D158">
        <v>48</v>
      </c>
      <c r="E158" t="s">
        <v>912</v>
      </c>
      <c r="F158" t="s">
        <v>914</v>
      </c>
      <c r="G158" t="s">
        <v>922</v>
      </c>
      <c r="H158">
        <v>23254.09</v>
      </c>
      <c r="I158">
        <v>29</v>
      </c>
      <c r="J158">
        <v>78</v>
      </c>
      <c r="K158" t="s">
        <v>925</v>
      </c>
      <c r="L158" t="str">
        <f>IF(ISBLANK(Table1[[#This Row],[CancelDate]]),"Active","Churned")</f>
        <v>Active</v>
      </c>
      <c r="M158">
        <f ca="1">IF(ISBLANK(Table1[[#This Row],[CancelDate]]),DATEDIF(Table1[[#This Row],[JoinDate]],TODAY(),"M"),DATEDIF(Table1[[#This Row],[JoinDate]],Table1[[#This Row],[CancelDate]],"M"))</f>
        <v>35</v>
      </c>
      <c r="N158" t="str">
        <f>IF(Table1[[#This Row],[EngagementScore]]&lt;=40,"Low",IF(Table1[[#This Row],[EngagementScore]]&lt;=70,"Medium","High"))</f>
        <v>High</v>
      </c>
      <c r="O158" t="str">
        <f>IF(Table1[[#This Row],[Age]]&lt;25,"18-24",
IF(Table1[[#This Row],[Age]]&lt;35,"25-34",
IF(Table1[[#This Row],[Age]]&lt;45,"35-44","45+")))</f>
        <v>45+</v>
      </c>
    </row>
    <row r="159" spans="1:15" x14ac:dyDescent="0.25">
      <c r="A159" t="s">
        <v>168</v>
      </c>
      <c r="B159" s="4">
        <v>44796</v>
      </c>
      <c r="D159">
        <v>42</v>
      </c>
      <c r="E159" t="s">
        <v>912</v>
      </c>
      <c r="F159" t="s">
        <v>915</v>
      </c>
      <c r="G159" t="s">
        <v>922</v>
      </c>
      <c r="H159">
        <v>15177.19</v>
      </c>
      <c r="I159">
        <v>12</v>
      </c>
      <c r="J159">
        <v>86</v>
      </c>
      <c r="K159" t="s">
        <v>923</v>
      </c>
      <c r="L159" t="str">
        <f>IF(ISBLANK(Table1[[#This Row],[CancelDate]]),"Active","Churned")</f>
        <v>Active</v>
      </c>
      <c r="M159">
        <f ca="1">IF(ISBLANK(Table1[[#This Row],[CancelDate]]),DATEDIF(Table1[[#This Row],[JoinDate]],TODAY(),"M"),DATEDIF(Table1[[#This Row],[JoinDate]],Table1[[#This Row],[CancelDate]],"M"))</f>
        <v>43</v>
      </c>
      <c r="N159" t="str">
        <f>IF(Table1[[#This Row],[EngagementScore]]&lt;=40,"Low",IF(Table1[[#This Row],[EngagementScore]]&lt;=70,"Medium","High"))</f>
        <v>High</v>
      </c>
      <c r="O159" t="str">
        <f>IF(Table1[[#This Row],[Age]]&lt;25,"18-24",
IF(Table1[[#This Row],[Age]]&lt;35,"25-34",
IF(Table1[[#This Row],[Age]]&lt;45,"35-44","45+")))</f>
        <v>35-44</v>
      </c>
    </row>
    <row r="160" spans="1:15" x14ac:dyDescent="0.25">
      <c r="A160" t="s">
        <v>169</v>
      </c>
      <c r="B160" s="4">
        <v>45091</v>
      </c>
      <c r="D160">
        <v>26</v>
      </c>
      <c r="E160" t="s">
        <v>912</v>
      </c>
      <c r="F160" t="s">
        <v>918</v>
      </c>
      <c r="G160" t="s">
        <v>922</v>
      </c>
      <c r="H160">
        <v>5210.42</v>
      </c>
      <c r="I160">
        <v>3</v>
      </c>
      <c r="J160">
        <v>20</v>
      </c>
      <c r="K160" t="s">
        <v>925</v>
      </c>
      <c r="L160" t="str">
        <f>IF(ISBLANK(Table1[[#This Row],[CancelDate]]),"Active","Churned")</f>
        <v>Active</v>
      </c>
      <c r="M160">
        <f ca="1">IF(ISBLANK(Table1[[#This Row],[CancelDate]]),DATEDIF(Table1[[#This Row],[JoinDate]],TODAY(),"M"),DATEDIF(Table1[[#This Row],[JoinDate]],Table1[[#This Row],[CancelDate]],"M"))</f>
        <v>33</v>
      </c>
      <c r="N160" t="str">
        <f>IF(Table1[[#This Row],[EngagementScore]]&lt;=40,"Low",IF(Table1[[#This Row],[EngagementScore]]&lt;=70,"Medium","High"))</f>
        <v>Low</v>
      </c>
      <c r="O160" t="str">
        <f>IF(Table1[[#This Row],[Age]]&lt;25,"18-24",
IF(Table1[[#This Row],[Age]]&lt;35,"25-34",
IF(Table1[[#This Row],[Age]]&lt;45,"35-44","45+")))</f>
        <v>25-34</v>
      </c>
    </row>
    <row r="161" spans="1:15" x14ac:dyDescent="0.25">
      <c r="A161" t="s">
        <v>170</v>
      </c>
      <c r="B161" s="4">
        <v>44567</v>
      </c>
      <c r="D161">
        <v>43</v>
      </c>
      <c r="E161" t="s">
        <v>911</v>
      </c>
      <c r="F161" t="s">
        <v>919</v>
      </c>
      <c r="G161" t="s">
        <v>920</v>
      </c>
      <c r="H161">
        <v>13585.89</v>
      </c>
      <c r="I161">
        <v>29</v>
      </c>
      <c r="J161">
        <v>74</v>
      </c>
      <c r="K161" t="s">
        <v>913</v>
      </c>
      <c r="L161" t="str">
        <f>IF(ISBLANK(Table1[[#This Row],[CancelDate]]),"Active","Churned")</f>
        <v>Active</v>
      </c>
      <c r="M161">
        <f ca="1">IF(ISBLANK(Table1[[#This Row],[CancelDate]]),DATEDIF(Table1[[#This Row],[JoinDate]],TODAY(),"M"),DATEDIF(Table1[[#This Row],[JoinDate]],Table1[[#This Row],[CancelDate]],"M"))</f>
        <v>50</v>
      </c>
      <c r="N161" t="str">
        <f>IF(Table1[[#This Row],[EngagementScore]]&lt;=40,"Low",IF(Table1[[#This Row],[EngagementScore]]&lt;=70,"Medium","High"))</f>
        <v>High</v>
      </c>
      <c r="O161" t="str">
        <f>IF(Table1[[#This Row],[Age]]&lt;25,"18-24",
IF(Table1[[#This Row],[Age]]&lt;35,"25-34",
IF(Table1[[#This Row],[Age]]&lt;45,"35-44","45+")))</f>
        <v>35-44</v>
      </c>
    </row>
    <row r="162" spans="1:15" x14ac:dyDescent="0.25">
      <c r="A162" t="s">
        <v>171</v>
      </c>
      <c r="B162" s="4">
        <v>45409</v>
      </c>
      <c r="C162" s="1">
        <v>45603</v>
      </c>
      <c r="D162">
        <v>49</v>
      </c>
      <c r="E162" t="s">
        <v>912</v>
      </c>
      <c r="F162" t="s">
        <v>919</v>
      </c>
      <c r="G162" t="s">
        <v>922</v>
      </c>
      <c r="H162">
        <v>2184.34</v>
      </c>
      <c r="I162">
        <v>7</v>
      </c>
      <c r="J162">
        <v>35</v>
      </c>
      <c r="K162" t="s">
        <v>925</v>
      </c>
      <c r="L162" t="str">
        <f>IF(ISBLANK(Table1[[#This Row],[CancelDate]]),"Active","Churned")</f>
        <v>Churned</v>
      </c>
      <c r="M162">
        <f ca="1">IF(ISBLANK(Table1[[#This Row],[CancelDate]]),DATEDIF(Table1[[#This Row],[JoinDate]],TODAY(),"M"),DATEDIF(Table1[[#This Row],[JoinDate]],Table1[[#This Row],[CancelDate]],"M"))</f>
        <v>6</v>
      </c>
      <c r="N162" t="str">
        <f>IF(Table1[[#This Row],[EngagementScore]]&lt;=40,"Low",IF(Table1[[#This Row],[EngagementScore]]&lt;=70,"Medium","High"))</f>
        <v>Low</v>
      </c>
      <c r="O162" t="str">
        <f>IF(Table1[[#This Row],[Age]]&lt;25,"18-24",
IF(Table1[[#This Row],[Age]]&lt;35,"25-34",
IF(Table1[[#This Row],[Age]]&lt;45,"35-44","45+")))</f>
        <v>45+</v>
      </c>
    </row>
    <row r="163" spans="1:15" x14ac:dyDescent="0.25">
      <c r="A163" t="s">
        <v>172</v>
      </c>
      <c r="B163" s="4">
        <v>44611</v>
      </c>
      <c r="D163">
        <v>59</v>
      </c>
      <c r="E163" t="s">
        <v>911</v>
      </c>
      <c r="F163" t="s">
        <v>916</v>
      </c>
      <c r="G163" t="s">
        <v>922</v>
      </c>
      <c r="H163">
        <v>25594.11</v>
      </c>
      <c r="I163">
        <v>13</v>
      </c>
      <c r="J163">
        <v>76</v>
      </c>
      <c r="K163" t="s">
        <v>924</v>
      </c>
      <c r="L163" t="str">
        <f>IF(ISBLANK(Table1[[#This Row],[CancelDate]]),"Active","Churned")</f>
        <v>Active</v>
      </c>
      <c r="M163">
        <f ca="1">IF(ISBLANK(Table1[[#This Row],[CancelDate]]),DATEDIF(Table1[[#This Row],[JoinDate]],TODAY(),"M"),DATEDIF(Table1[[#This Row],[JoinDate]],Table1[[#This Row],[CancelDate]],"M"))</f>
        <v>49</v>
      </c>
      <c r="N163" t="str">
        <f>IF(Table1[[#This Row],[EngagementScore]]&lt;=40,"Low",IF(Table1[[#This Row],[EngagementScore]]&lt;=70,"Medium","High"))</f>
        <v>High</v>
      </c>
      <c r="O163" t="str">
        <f>IF(Table1[[#This Row],[Age]]&lt;25,"18-24",
IF(Table1[[#This Row],[Age]]&lt;35,"25-34",
IF(Table1[[#This Row],[Age]]&lt;45,"35-44","45+")))</f>
        <v>45+</v>
      </c>
    </row>
    <row r="164" spans="1:15" x14ac:dyDescent="0.25">
      <c r="A164" t="s">
        <v>173</v>
      </c>
      <c r="B164" s="4">
        <v>45000</v>
      </c>
      <c r="D164">
        <v>42</v>
      </c>
      <c r="E164" t="s">
        <v>911</v>
      </c>
      <c r="F164" t="s">
        <v>915</v>
      </c>
      <c r="G164" t="s">
        <v>921</v>
      </c>
      <c r="H164">
        <v>24618.95</v>
      </c>
      <c r="I164">
        <v>23</v>
      </c>
      <c r="J164">
        <v>71</v>
      </c>
      <c r="K164" t="s">
        <v>925</v>
      </c>
      <c r="L164" t="str">
        <f>IF(ISBLANK(Table1[[#This Row],[CancelDate]]),"Active","Churned")</f>
        <v>Active</v>
      </c>
      <c r="M164">
        <f ca="1">IF(ISBLANK(Table1[[#This Row],[CancelDate]]),DATEDIF(Table1[[#This Row],[JoinDate]],TODAY(),"M"),DATEDIF(Table1[[#This Row],[JoinDate]],Table1[[#This Row],[CancelDate]],"M"))</f>
        <v>36</v>
      </c>
      <c r="N164" t="str">
        <f>IF(Table1[[#This Row],[EngagementScore]]&lt;=40,"Low",IF(Table1[[#This Row],[EngagementScore]]&lt;=70,"Medium","High"))</f>
        <v>High</v>
      </c>
      <c r="O164" t="str">
        <f>IF(Table1[[#This Row],[Age]]&lt;25,"18-24",
IF(Table1[[#This Row],[Age]]&lt;35,"25-34",
IF(Table1[[#This Row],[Age]]&lt;45,"35-44","45+")))</f>
        <v>35-44</v>
      </c>
    </row>
    <row r="165" spans="1:15" x14ac:dyDescent="0.25">
      <c r="A165" t="s">
        <v>174</v>
      </c>
      <c r="B165" s="4">
        <v>44894</v>
      </c>
      <c r="C165" s="1">
        <v>45079</v>
      </c>
      <c r="D165">
        <v>32</v>
      </c>
      <c r="E165" t="s">
        <v>911</v>
      </c>
      <c r="F165" t="s">
        <v>917</v>
      </c>
      <c r="G165" t="s">
        <v>921</v>
      </c>
      <c r="H165">
        <v>13667.85</v>
      </c>
      <c r="I165">
        <v>14</v>
      </c>
      <c r="J165">
        <v>63</v>
      </c>
      <c r="K165" t="s">
        <v>925</v>
      </c>
      <c r="L165" t="str">
        <f>IF(ISBLANK(Table1[[#This Row],[CancelDate]]),"Active","Churned")</f>
        <v>Churned</v>
      </c>
      <c r="M165">
        <f ca="1">IF(ISBLANK(Table1[[#This Row],[CancelDate]]),DATEDIF(Table1[[#This Row],[JoinDate]],TODAY(),"M"),DATEDIF(Table1[[#This Row],[JoinDate]],Table1[[#This Row],[CancelDate]],"M"))</f>
        <v>6</v>
      </c>
      <c r="N165" t="str">
        <f>IF(Table1[[#This Row],[EngagementScore]]&lt;=40,"Low",IF(Table1[[#This Row],[EngagementScore]]&lt;=70,"Medium","High"))</f>
        <v>Medium</v>
      </c>
      <c r="O165" t="str">
        <f>IF(Table1[[#This Row],[Age]]&lt;25,"18-24",
IF(Table1[[#This Row],[Age]]&lt;35,"25-34",
IF(Table1[[#This Row],[Age]]&lt;45,"35-44","45+")))</f>
        <v>25-34</v>
      </c>
    </row>
    <row r="166" spans="1:15" x14ac:dyDescent="0.25">
      <c r="A166" t="s">
        <v>175</v>
      </c>
      <c r="B166" s="4">
        <v>45179</v>
      </c>
      <c r="D166">
        <v>53</v>
      </c>
      <c r="E166" t="s">
        <v>911</v>
      </c>
      <c r="F166" t="s">
        <v>916</v>
      </c>
      <c r="G166" t="s">
        <v>922</v>
      </c>
      <c r="H166">
        <v>3333.14</v>
      </c>
      <c r="I166">
        <v>5</v>
      </c>
      <c r="J166">
        <v>31</v>
      </c>
      <c r="K166" t="s">
        <v>923</v>
      </c>
      <c r="L166" t="str">
        <f>IF(ISBLANK(Table1[[#This Row],[CancelDate]]),"Active","Churned")</f>
        <v>Active</v>
      </c>
      <c r="M166">
        <f ca="1">IF(ISBLANK(Table1[[#This Row],[CancelDate]]),DATEDIF(Table1[[#This Row],[JoinDate]],TODAY(),"M"),DATEDIF(Table1[[#This Row],[JoinDate]],Table1[[#This Row],[CancelDate]],"M"))</f>
        <v>30</v>
      </c>
      <c r="N166" t="str">
        <f>IF(Table1[[#This Row],[EngagementScore]]&lt;=40,"Low",IF(Table1[[#This Row],[EngagementScore]]&lt;=70,"Medium","High"))</f>
        <v>Low</v>
      </c>
      <c r="O166" t="str">
        <f>IF(Table1[[#This Row],[Age]]&lt;25,"18-24",
IF(Table1[[#This Row],[Age]]&lt;35,"25-34",
IF(Table1[[#This Row],[Age]]&lt;45,"35-44","45+")))</f>
        <v>45+</v>
      </c>
    </row>
    <row r="167" spans="1:15" x14ac:dyDescent="0.25">
      <c r="A167" t="s">
        <v>176</v>
      </c>
      <c r="B167" s="4">
        <v>44744</v>
      </c>
      <c r="C167" s="1">
        <v>44905</v>
      </c>
      <c r="D167">
        <v>33</v>
      </c>
      <c r="E167" t="s">
        <v>912</v>
      </c>
      <c r="F167" t="s">
        <v>916</v>
      </c>
      <c r="G167" t="s">
        <v>922</v>
      </c>
      <c r="H167">
        <v>6790.17</v>
      </c>
      <c r="I167">
        <v>13</v>
      </c>
      <c r="J167">
        <v>56</v>
      </c>
      <c r="K167" t="s">
        <v>923</v>
      </c>
      <c r="L167" t="str">
        <f>IF(ISBLANK(Table1[[#This Row],[CancelDate]]),"Active","Churned")</f>
        <v>Churned</v>
      </c>
      <c r="M167">
        <f ca="1">IF(ISBLANK(Table1[[#This Row],[CancelDate]]),DATEDIF(Table1[[#This Row],[JoinDate]],TODAY(),"M"),DATEDIF(Table1[[#This Row],[JoinDate]],Table1[[#This Row],[CancelDate]],"M"))</f>
        <v>5</v>
      </c>
      <c r="N167" t="str">
        <f>IF(Table1[[#This Row],[EngagementScore]]&lt;=40,"Low",IF(Table1[[#This Row],[EngagementScore]]&lt;=70,"Medium","High"))</f>
        <v>Medium</v>
      </c>
      <c r="O167" t="str">
        <f>IF(Table1[[#This Row],[Age]]&lt;25,"18-24",
IF(Table1[[#This Row],[Age]]&lt;35,"25-34",
IF(Table1[[#This Row],[Age]]&lt;45,"35-44","45+")))</f>
        <v>25-34</v>
      </c>
    </row>
    <row r="168" spans="1:15" x14ac:dyDescent="0.25">
      <c r="A168" t="s">
        <v>177</v>
      </c>
      <c r="B168" s="4">
        <v>45249</v>
      </c>
      <c r="D168">
        <v>28</v>
      </c>
      <c r="E168" t="s">
        <v>911</v>
      </c>
      <c r="F168" t="s">
        <v>915</v>
      </c>
      <c r="G168" t="s">
        <v>922</v>
      </c>
      <c r="H168">
        <v>14103.54</v>
      </c>
      <c r="I168">
        <v>13</v>
      </c>
      <c r="J168">
        <v>51</v>
      </c>
      <c r="K168" t="s">
        <v>925</v>
      </c>
      <c r="L168" t="str">
        <f>IF(ISBLANK(Table1[[#This Row],[CancelDate]]),"Active","Churned")</f>
        <v>Active</v>
      </c>
      <c r="M168">
        <f ca="1">IF(ISBLANK(Table1[[#This Row],[CancelDate]]),DATEDIF(Table1[[#This Row],[JoinDate]],TODAY(),"M"),DATEDIF(Table1[[#This Row],[JoinDate]],Table1[[#This Row],[CancelDate]],"M"))</f>
        <v>28</v>
      </c>
      <c r="N168" t="str">
        <f>IF(Table1[[#This Row],[EngagementScore]]&lt;=40,"Low",IF(Table1[[#This Row],[EngagementScore]]&lt;=70,"Medium","High"))</f>
        <v>Medium</v>
      </c>
      <c r="O168" t="str">
        <f>IF(Table1[[#This Row],[Age]]&lt;25,"18-24",
IF(Table1[[#This Row],[Age]]&lt;35,"25-34",
IF(Table1[[#This Row],[Age]]&lt;45,"35-44","45+")))</f>
        <v>25-34</v>
      </c>
    </row>
    <row r="169" spans="1:15" x14ac:dyDescent="0.25">
      <c r="A169" t="s">
        <v>178</v>
      </c>
      <c r="B169" s="4">
        <v>44983</v>
      </c>
      <c r="D169">
        <v>51</v>
      </c>
      <c r="E169" t="s">
        <v>911</v>
      </c>
      <c r="F169" t="s">
        <v>919</v>
      </c>
      <c r="G169" t="s">
        <v>921</v>
      </c>
      <c r="H169">
        <v>11373.26</v>
      </c>
      <c r="I169">
        <v>8</v>
      </c>
      <c r="J169">
        <v>61</v>
      </c>
      <c r="K169" t="s">
        <v>925</v>
      </c>
      <c r="L169" t="str">
        <f>IF(ISBLANK(Table1[[#This Row],[CancelDate]]),"Active","Churned")</f>
        <v>Active</v>
      </c>
      <c r="M169">
        <f ca="1">IF(ISBLANK(Table1[[#This Row],[CancelDate]]),DATEDIF(Table1[[#This Row],[JoinDate]],TODAY(),"M"),DATEDIF(Table1[[#This Row],[JoinDate]],Table1[[#This Row],[CancelDate]],"M"))</f>
        <v>37</v>
      </c>
      <c r="N169" t="str">
        <f>IF(Table1[[#This Row],[EngagementScore]]&lt;=40,"Low",IF(Table1[[#This Row],[EngagementScore]]&lt;=70,"Medium","High"))</f>
        <v>Medium</v>
      </c>
      <c r="O169" t="str">
        <f>IF(Table1[[#This Row],[Age]]&lt;25,"18-24",
IF(Table1[[#This Row],[Age]]&lt;35,"25-34",
IF(Table1[[#This Row],[Age]]&lt;45,"35-44","45+")))</f>
        <v>45+</v>
      </c>
    </row>
    <row r="170" spans="1:15" x14ac:dyDescent="0.25">
      <c r="A170" t="s">
        <v>179</v>
      </c>
      <c r="B170" s="4">
        <v>45161</v>
      </c>
      <c r="C170" s="1">
        <v>45482</v>
      </c>
      <c r="D170">
        <v>28</v>
      </c>
      <c r="E170" t="s">
        <v>912</v>
      </c>
      <c r="F170" t="s">
        <v>915</v>
      </c>
      <c r="G170" t="s">
        <v>921</v>
      </c>
      <c r="H170">
        <v>3721.3</v>
      </c>
      <c r="I170">
        <v>2</v>
      </c>
      <c r="J170">
        <v>14</v>
      </c>
      <c r="K170" t="s">
        <v>925</v>
      </c>
      <c r="L170" t="str">
        <f>IF(ISBLANK(Table1[[#This Row],[CancelDate]]),"Active","Churned")</f>
        <v>Churned</v>
      </c>
      <c r="M170">
        <f ca="1">IF(ISBLANK(Table1[[#This Row],[CancelDate]]),DATEDIF(Table1[[#This Row],[JoinDate]],TODAY(),"M"),DATEDIF(Table1[[#This Row],[JoinDate]],Table1[[#This Row],[CancelDate]],"M"))</f>
        <v>10</v>
      </c>
      <c r="N170" t="str">
        <f>IF(Table1[[#This Row],[EngagementScore]]&lt;=40,"Low",IF(Table1[[#This Row],[EngagementScore]]&lt;=70,"Medium","High"))</f>
        <v>Low</v>
      </c>
      <c r="O170" t="str">
        <f>IF(Table1[[#This Row],[Age]]&lt;25,"18-24",
IF(Table1[[#This Row],[Age]]&lt;35,"25-34",
IF(Table1[[#This Row],[Age]]&lt;45,"35-44","45+")))</f>
        <v>25-34</v>
      </c>
    </row>
    <row r="171" spans="1:15" x14ac:dyDescent="0.25">
      <c r="A171" t="s">
        <v>180</v>
      </c>
      <c r="B171" s="4">
        <v>45223</v>
      </c>
      <c r="D171">
        <v>45</v>
      </c>
      <c r="E171" t="s">
        <v>912</v>
      </c>
      <c r="F171" t="s">
        <v>917</v>
      </c>
      <c r="G171" t="s">
        <v>922</v>
      </c>
      <c r="H171">
        <v>7373.62</v>
      </c>
      <c r="I171">
        <v>12</v>
      </c>
      <c r="J171">
        <v>46</v>
      </c>
      <c r="K171" t="s">
        <v>925</v>
      </c>
      <c r="L171" t="str">
        <f>IF(ISBLANK(Table1[[#This Row],[CancelDate]]),"Active","Churned")</f>
        <v>Active</v>
      </c>
      <c r="M171">
        <f ca="1">IF(ISBLANK(Table1[[#This Row],[CancelDate]]),DATEDIF(Table1[[#This Row],[JoinDate]],TODAY(),"M"),DATEDIF(Table1[[#This Row],[JoinDate]],Table1[[#This Row],[CancelDate]],"M"))</f>
        <v>29</v>
      </c>
      <c r="N171" t="str">
        <f>IF(Table1[[#This Row],[EngagementScore]]&lt;=40,"Low",IF(Table1[[#This Row],[EngagementScore]]&lt;=70,"Medium","High"))</f>
        <v>Medium</v>
      </c>
      <c r="O171" t="str">
        <f>IF(Table1[[#This Row],[Age]]&lt;25,"18-24",
IF(Table1[[#This Row],[Age]]&lt;35,"25-34",
IF(Table1[[#This Row],[Age]]&lt;45,"35-44","45+")))</f>
        <v>45+</v>
      </c>
    </row>
    <row r="172" spans="1:15" x14ac:dyDescent="0.25">
      <c r="A172" t="s">
        <v>181</v>
      </c>
      <c r="B172" s="4">
        <v>44822</v>
      </c>
      <c r="C172" s="1">
        <v>44983</v>
      </c>
      <c r="D172">
        <v>47</v>
      </c>
      <c r="E172" t="s">
        <v>911</v>
      </c>
      <c r="F172" t="s">
        <v>915</v>
      </c>
      <c r="G172" t="s">
        <v>922</v>
      </c>
      <c r="H172">
        <v>2179.6999999999998</v>
      </c>
      <c r="I172">
        <v>4</v>
      </c>
      <c r="J172">
        <v>36</v>
      </c>
      <c r="K172" t="s">
        <v>923</v>
      </c>
      <c r="L172" t="str">
        <f>IF(ISBLANK(Table1[[#This Row],[CancelDate]]),"Active","Churned")</f>
        <v>Churned</v>
      </c>
      <c r="M172">
        <f ca="1">IF(ISBLANK(Table1[[#This Row],[CancelDate]]),DATEDIF(Table1[[#This Row],[JoinDate]],TODAY(),"M"),DATEDIF(Table1[[#This Row],[JoinDate]],Table1[[#This Row],[CancelDate]],"M"))</f>
        <v>5</v>
      </c>
      <c r="N172" t="str">
        <f>IF(Table1[[#This Row],[EngagementScore]]&lt;=40,"Low",IF(Table1[[#This Row],[EngagementScore]]&lt;=70,"Medium","High"))</f>
        <v>Low</v>
      </c>
      <c r="O172" t="str">
        <f>IF(Table1[[#This Row],[Age]]&lt;25,"18-24",
IF(Table1[[#This Row],[Age]]&lt;35,"25-34",
IF(Table1[[#This Row],[Age]]&lt;45,"35-44","45+")))</f>
        <v>45+</v>
      </c>
    </row>
    <row r="173" spans="1:15" x14ac:dyDescent="0.25">
      <c r="A173" t="s">
        <v>182</v>
      </c>
      <c r="B173" s="4">
        <v>45037</v>
      </c>
      <c r="C173" s="1">
        <v>45300</v>
      </c>
      <c r="D173">
        <v>49</v>
      </c>
      <c r="E173" t="s">
        <v>912</v>
      </c>
      <c r="F173" t="s">
        <v>916</v>
      </c>
      <c r="G173" t="s">
        <v>920</v>
      </c>
      <c r="H173">
        <v>6667.64</v>
      </c>
      <c r="I173">
        <v>2</v>
      </c>
      <c r="J173">
        <v>16</v>
      </c>
      <c r="K173" t="s">
        <v>923</v>
      </c>
      <c r="L173" t="str">
        <f>IF(ISBLANK(Table1[[#This Row],[CancelDate]]),"Active","Churned")</f>
        <v>Churned</v>
      </c>
      <c r="M173">
        <f ca="1">IF(ISBLANK(Table1[[#This Row],[CancelDate]]),DATEDIF(Table1[[#This Row],[JoinDate]],TODAY(),"M"),DATEDIF(Table1[[#This Row],[JoinDate]],Table1[[#This Row],[CancelDate]],"M"))</f>
        <v>8</v>
      </c>
      <c r="N173" t="str">
        <f>IF(Table1[[#This Row],[EngagementScore]]&lt;=40,"Low",IF(Table1[[#This Row],[EngagementScore]]&lt;=70,"Medium","High"))</f>
        <v>Low</v>
      </c>
      <c r="O173" t="str">
        <f>IF(Table1[[#This Row],[Age]]&lt;25,"18-24",
IF(Table1[[#This Row],[Age]]&lt;35,"25-34",
IF(Table1[[#This Row],[Age]]&lt;45,"35-44","45+")))</f>
        <v>45+</v>
      </c>
    </row>
    <row r="174" spans="1:15" x14ac:dyDescent="0.25">
      <c r="A174" t="s">
        <v>183</v>
      </c>
      <c r="B174" s="4">
        <v>45150</v>
      </c>
      <c r="C174" s="1">
        <v>45434</v>
      </c>
      <c r="D174">
        <v>26</v>
      </c>
      <c r="E174" t="s">
        <v>912</v>
      </c>
      <c r="F174" t="s">
        <v>918</v>
      </c>
      <c r="G174" t="s">
        <v>920</v>
      </c>
      <c r="H174">
        <v>15794.24</v>
      </c>
      <c r="I174">
        <v>29</v>
      </c>
      <c r="J174">
        <v>71</v>
      </c>
      <c r="K174" t="s">
        <v>925</v>
      </c>
      <c r="L174" t="str">
        <f>IF(ISBLANK(Table1[[#This Row],[CancelDate]]),"Active","Churned")</f>
        <v>Churned</v>
      </c>
      <c r="M174">
        <f ca="1">IF(ISBLANK(Table1[[#This Row],[CancelDate]]),DATEDIF(Table1[[#This Row],[JoinDate]],TODAY(),"M"),DATEDIF(Table1[[#This Row],[JoinDate]],Table1[[#This Row],[CancelDate]],"M"))</f>
        <v>9</v>
      </c>
      <c r="N174" t="str">
        <f>IF(Table1[[#This Row],[EngagementScore]]&lt;=40,"Low",IF(Table1[[#This Row],[EngagementScore]]&lt;=70,"Medium","High"))</f>
        <v>High</v>
      </c>
      <c r="O174" t="str">
        <f>IF(Table1[[#This Row],[Age]]&lt;25,"18-24",
IF(Table1[[#This Row],[Age]]&lt;35,"25-34",
IF(Table1[[#This Row],[Age]]&lt;45,"35-44","45+")))</f>
        <v>25-34</v>
      </c>
    </row>
    <row r="175" spans="1:15" x14ac:dyDescent="0.25">
      <c r="A175" t="s">
        <v>184</v>
      </c>
      <c r="B175" s="4">
        <v>44795</v>
      </c>
      <c r="D175">
        <v>26</v>
      </c>
      <c r="E175" t="s">
        <v>911</v>
      </c>
      <c r="F175" t="s">
        <v>916</v>
      </c>
      <c r="G175" t="s">
        <v>920</v>
      </c>
      <c r="H175">
        <v>27241.71</v>
      </c>
      <c r="I175">
        <v>29</v>
      </c>
      <c r="J175">
        <v>88</v>
      </c>
      <c r="K175" t="s">
        <v>925</v>
      </c>
      <c r="L175" t="str">
        <f>IF(ISBLANK(Table1[[#This Row],[CancelDate]]),"Active","Churned")</f>
        <v>Active</v>
      </c>
      <c r="M175">
        <f ca="1">IF(ISBLANK(Table1[[#This Row],[CancelDate]]),DATEDIF(Table1[[#This Row],[JoinDate]],TODAY(),"M"),DATEDIF(Table1[[#This Row],[JoinDate]],Table1[[#This Row],[CancelDate]],"M"))</f>
        <v>43</v>
      </c>
      <c r="N175" t="str">
        <f>IF(Table1[[#This Row],[EngagementScore]]&lt;=40,"Low",IF(Table1[[#This Row],[EngagementScore]]&lt;=70,"Medium","High"))</f>
        <v>High</v>
      </c>
      <c r="O175" t="str">
        <f>IF(Table1[[#This Row],[Age]]&lt;25,"18-24",
IF(Table1[[#This Row],[Age]]&lt;35,"25-34",
IF(Table1[[#This Row],[Age]]&lt;45,"35-44","45+")))</f>
        <v>25-34</v>
      </c>
    </row>
    <row r="176" spans="1:15" x14ac:dyDescent="0.25">
      <c r="A176" t="s">
        <v>185</v>
      </c>
      <c r="B176" s="4">
        <v>44893</v>
      </c>
      <c r="C176" s="1">
        <v>45200</v>
      </c>
      <c r="D176">
        <v>41</v>
      </c>
      <c r="E176" t="s">
        <v>911</v>
      </c>
      <c r="F176" t="s">
        <v>916</v>
      </c>
      <c r="G176" t="s">
        <v>922</v>
      </c>
      <c r="H176">
        <v>4212.07</v>
      </c>
      <c r="I176">
        <v>5</v>
      </c>
      <c r="J176">
        <v>14</v>
      </c>
      <c r="K176" t="s">
        <v>913</v>
      </c>
      <c r="L176" t="str">
        <f>IF(ISBLANK(Table1[[#This Row],[CancelDate]]),"Active","Churned")</f>
        <v>Churned</v>
      </c>
      <c r="M176">
        <f ca="1">IF(ISBLANK(Table1[[#This Row],[CancelDate]]),DATEDIF(Table1[[#This Row],[JoinDate]],TODAY(),"M"),DATEDIF(Table1[[#This Row],[JoinDate]],Table1[[#This Row],[CancelDate]],"M"))</f>
        <v>10</v>
      </c>
      <c r="N176" t="str">
        <f>IF(Table1[[#This Row],[EngagementScore]]&lt;=40,"Low",IF(Table1[[#This Row],[EngagementScore]]&lt;=70,"Medium","High"))</f>
        <v>Low</v>
      </c>
      <c r="O176" t="str">
        <f>IF(Table1[[#This Row],[Age]]&lt;25,"18-24",
IF(Table1[[#This Row],[Age]]&lt;35,"25-34",
IF(Table1[[#This Row],[Age]]&lt;45,"35-44","45+")))</f>
        <v>35-44</v>
      </c>
    </row>
    <row r="177" spans="1:15" x14ac:dyDescent="0.25">
      <c r="A177" t="s">
        <v>186</v>
      </c>
      <c r="B177" s="4">
        <v>45336</v>
      </c>
      <c r="D177">
        <v>54</v>
      </c>
      <c r="E177" t="s">
        <v>911</v>
      </c>
      <c r="F177" t="s">
        <v>914</v>
      </c>
      <c r="G177" t="s">
        <v>922</v>
      </c>
      <c r="H177">
        <v>6853.62</v>
      </c>
      <c r="I177">
        <v>6</v>
      </c>
      <c r="J177">
        <v>57</v>
      </c>
      <c r="K177" t="s">
        <v>925</v>
      </c>
      <c r="L177" t="str">
        <f>IF(ISBLANK(Table1[[#This Row],[CancelDate]]),"Active","Churned")</f>
        <v>Active</v>
      </c>
      <c r="M177">
        <f ca="1">IF(ISBLANK(Table1[[#This Row],[CancelDate]]),DATEDIF(Table1[[#This Row],[JoinDate]],TODAY(),"M"),DATEDIF(Table1[[#This Row],[JoinDate]],Table1[[#This Row],[CancelDate]],"M"))</f>
        <v>25</v>
      </c>
      <c r="N177" t="str">
        <f>IF(Table1[[#This Row],[EngagementScore]]&lt;=40,"Low",IF(Table1[[#This Row],[EngagementScore]]&lt;=70,"Medium","High"))</f>
        <v>Medium</v>
      </c>
      <c r="O177" t="str">
        <f>IF(Table1[[#This Row],[Age]]&lt;25,"18-24",
IF(Table1[[#This Row],[Age]]&lt;35,"25-34",
IF(Table1[[#This Row],[Age]]&lt;45,"35-44","45+")))</f>
        <v>45+</v>
      </c>
    </row>
    <row r="178" spans="1:15" x14ac:dyDescent="0.25">
      <c r="A178" t="s">
        <v>187</v>
      </c>
      <c r="B178" s="4">
        <v>45450</v>
      </c>
      <c r="D178">
        <v>34</v>
      </c>
      <c r="E178" t="s">
        <v>912</v>
      </c>
      <c r="F178" t="s">
        <v>917</v>
      </c>
      <c r="G178" t="s">
        <v>922</v>
      </c>
      <c r="H178">
        <v>6275.21</v>
      </c>
      <c r="I178">
        <v>2</v>
      </c>
      <c r="J178">
        <v>18</v>
      </c>
      <c r="K178" t="s">
        <v>923</v>
      </c>
      <c r="L178" t="str">
        <f>IF(ISBLANK(Table1[[#This Row],[CancelDate]]),"Active","Churned")</f>
        <v>Active</v>
      </c>
      <c r="M178">
        <f ca="1">IF(ISBLANK(Table1[[#This Row],[CancelDate]]),DATEDIF(Table1[[#This Row],[JoinDate]],TODAY(),"M"),DATEDIF(Table1[[#This Row],[JoinDate]],Table1[[#This Row],[CancelDate]],"M"))</f>
        <v>21</v>
      </c>
      <c r="N178" t="str">
        <f>IF(Table1[[#This Row],[EngagementScore]]&lt;=40,"Low",IF(Table1[[#This Row],[EngagementScore]]&lt;=70,"Medium","High"))</f>
        <v>Low</v>
      </c>
      <c r="O178" t="str">
        <f>IF(Table1[[#This Row],[Age]]&lt;25,"18-24",
IF(Table1[[#This Row],[Age]]&lt;35,"25-34",
IF(Table1[[#This Row],[Age]]&lt;45,"35-44","45+")))</f>
        <v>25-34</v>
      </c>
    </row>
    <row r="179" spans="1:15" x14ac:dyDescent="0.25">
      <c r="A179" t="s">
        <v>188</v>
      </c>
      <c r="B179" s="4">
        <v>44787</v>
      </c>
      <c r="C179" s="1">
        <v>44865</v>
      </c>
      <c r="D179">
        <v>23</v>
      </c>
      <c r="E179" t="s">
        <v>911</v>
      </c>
      <c r="F179" t="s">
        <v>918</v>
      </c>
      <c r="G179" t="s">
        <v>921</v>
      </c>
      <c r="H179">
        <v>10000.870000000001</v>
      </c>
      <c r="I179">
        <v>11</v>
      </c>
      <c r="J179">
        <v>65</v>
      </c>
      <c r="K179" t="s">
        <v>925</v>
      </c>
      <c r="L179" t="str">
        <f>IF(ISBLANK(Table1[[#This Row],[CancelDate]]),"Active","Churned")</f>
        <v>Churned</v>
      </c>
      <c r="M179">
        <f ca="1">IF(ISBLANK(Table1[[#This Row],[CancelDate]]),DATEDIF(Table1[[#This Row],[JoinDate]],TODAY(),"M"),DATEDIF(Table1[[#This Row],[JoinDate]],Table1[[#This Row],[CancelDate]],"M"))</f>
        <v>2</v>
      </c>
      <c r="N179" t="str">
        <f>IF(Table1[[#This Row],[EngagementScore]]&lt;=40,"Low",IF(Table1[[#This Row],[EngagementScore]]&lt;=70,"Medium","High"))</f>
        <v>Medium</v>
      </c>
      <c r="O179" t="str">
        <f>IF(Table1[[#This Row],[Age]]&lt;25,"18-24",
IF(Table1[[#This Row],[Age]]&lt;35,"25-34",
IF(Table1[[#This Row],[Age]]&lt;45,"35-44","45+")))</f>
        <v>18-24</v>
      </c>
    </row>
    <row r="180" spans="1:15" x14ac:dyDescent="0.25">
      <c r="A180" t="s">
        <v>189</v>
      </c>
      <c r="B180" s="4">
        <v>45031</v>
      </c>
      <c r="D180">
        <v>49</v>
      </c>
      <c r="E180" t="s">
        <v>912</v>
      </c>
      <c r="F180" t="s">
        <v>919</v>
      </c>
      <c r="G180" t="s">
        <v>921</v>
      </c>
      <c r="H180">
        <v>6353.2</v>
      </c>
      <c r="I180">
        <v>5</v>
      </c>
      <c r="J180">
        <v>55</v>
      </c>
      <c r="K180" t="s">
        <v>925</v>
      </c>
      <c r="L180" t="str">
        <f>IF(ISBLANK(Table1[[#This Row],[CancelDate]]),"Active","Churned")</f>
        <v>Active</v>
      </c>
      <c r="M180">
        <f ca="1">IF(ISBLANK(Table1[[#This Row],[CancelDate]]),DATEDIF(Table1[[#This Row],[JoinDate]],TODAY(),"M"),DATEDIF(Table1[[#This Row],[JoinDate]],Table1[[#This Row],[CancelDate]],"M"))</f>
        <v>35</v>
      </c>
      <c r="N180" t="str">
        <f>IF(Table1[[#This Row],[EngagementScore]]&lt;=40,"Low",IF(Table1[[#This Row],[EngagementScore]]&lt;=70,"Medium","High"))</f>
        <v>Medium</v>
      </c>
      <c r="O180" t="str">
        <f>IF(Table1[[#This Row],[Age]]&lt;25,"18-24",
IF(Table1[[#This Row],[Age]]&lt;35,"25-34",
IF(Table1[[#This Row],[Age]]&lt;45,"35-44","45+")))</f>
        <v>45+</v>
      </c>
    </row>
    <row r="181" spans="1:15" x14ac:dyDescent="0.25">
      <c r="A181" t="s">
        <v>190</v>
      </c>
      <c r="B181" s="4">
        <v>44647</v>
      </c>
      <c r="D181">
        <v>30</v>
      </c>
      <c r="E181" t="s">
        <v>912</v>
      </c>
      <c r="F181" t="s">
        <v>918</v>
      </c>
      <c r="G181" t="s">
        <v>921</v>
      </c>
      <c r="H181">
        <v>4955.33</v>
      </c>
      <c r="I181">
        <v>4</v>
      </c>
      <c r="J181">
        <v>39</v>
      </c>
      <c r="K181" t="s">
        <v>923</v>
      </c>
      <c r="L181" t="str">
        <f>IF(ISBLANK(Table1[[#This Row],[CancelDate]]),"Active","Churned")</f>
        <v>Active</v>
      </c>
      <c r="M181">
        <f ca="1">IF(ISBLANK(Table1[[#This Row],[CancelDate]]),DATEDIF(Table1[[#This Row],[JoinDate]],TODAY(),"M"),DATEDIF(Table1[[#This Row],[JoinDate]],Table1[[#This Row],[CancelDate]],"M"))</f>
        <v>48</v>
      </c>
      <c r="N181" t="str">
        <f>IF(Table1[[#This Row],[EngagementScore]]&lt;=40,"Low",IF(Table1[[#This Row],[EngagementScore]]&lt;=70,"Medium","High"))</f>
        <v>Low</v>
      </c>
      <c r="O181" t="str">
        <f>IF(Table1[[#This Row],[Age]]&lt;25,"18-24",
IF(Table1[[#This Row],[Age]]&lt;35,"25-34",
IF(Table1[[#This Row],[Age]]&lt;45,"35-44","45+")))</f>
        <v>25-34</v>
      </c>
    </row>
    <row r="182" spans="1:15" x14ac:dyDescent="0.25">
      <c r="A182" t="s">
        <v>191</v>
      </c>
      <c r="B182" s="4">
        <v>45232</v>
      </c>
      <c r="D182">
        <v>37</v>
      </c>
      <c r="E182" t="s">
        <v>912</v>
      </c>
      <c r="F182" t="s">
        <v>917</v>
      </c>
      <c r="G182" t="s">
        <v>922</v>
      </c>
      <c r="H182">
        <v>12345.61</v>
      </c>
      <c r="I182">
        <v>11</v>
      </c>
      <c r="J182">
        <v>56</v>
      </c>
      <c r="K182" t="s">
        <v>925</v>
      </c>
      <c r="L182" t="str">
        <f>IF(ISBLANK(Table1[[#This Row],[CancelDate]]),"Active","Churned")</f>
        <v>Active</v>
      </c>
      <c r="M182">
        <f ca="1">IF(ISBLANK(Table1[[#This Row],[CancelDate]]),DATEDIF(Table1[[#This Row],[JoinDate]],TODAY(),"M"),DATEDIF(Table1[[#This Row],[JoinDate]],Table1[[#This Row],[CancelDate]],"M"))</f>
        <v>29</v>
      </c>
      <c r="N182" t="str">
        <f>IF(Table1[[#This Row],[EngagementScore]]&lt;=40,"Low",IF(Table1[[#This Row],[EngagementScore]]&lt;=70,"Medium","High"))</f>
        <v>Medium</v>
      </c>
      <c r="O182" t="str">
        <f>IF(Table1[[#This Row],[Age]]&lt;25,"18-24",
IF(Table1[[#This Row],[Age]]&lt;35,"25-34",
IF(Table1[[#This Row],[Age]]&lt;45,"35-44","45+")))</f>
        <v>35-44</v>
      </c>
    </row>
    <row r="183" spans="1:15" x14ac:dyDescent="0.25">
      <c r="A183" t="s">
        <v>192</v>
      </c>
      <c r="B183" s="4">
        <v>45437</v>
      </c>
      <c r="C183" s="1">
        <v>45589</v>
      </c>
      <c r="D183">
        <v>21</v>
      </c>
      <c r="E183" t="s">
        <v>912</v>
      </c>
      <c r="F183" t="s">
        <v>916</v>
      </c>
      <c r="G183" t="s">
        <v>920</v>
      </c>
      <c r="H183">
        <v>17359.990000000002</v>
      </c>
      <c r="I183">
        <v>14</v>
      </c>
      <c r="J183">
        <v>78</v>
      </c>
      <c r="K183" t="s">
        <v>923</v>
      </c>
      <c r="L183" t="str">
        <f>IF(ISBLANK(Table1[[#This Row],[CancelDate]]),"Active","Churned")</f>
        <v>Churned</v>
      </c>
      <c r="M183">
        <f ca="1">IF(ISBLANK(Table1[[#This Row],[CancelDate]]),DATEDIF(Table1[[#This Row],[JoinDate]],TODAY(),"M"),DATEDIF(Table1[[#This Row],[JoinDate]],Table1[[#This Row],[CancelDate]],"M"))</f>
        <v>4</v>
      </c>
      <c r="N183" t="str">
        <f>IF(Table1[[#This Row],[EngagementScore]]&lt;=40,"Low",IF(Table1[[#This Row],[EngagementScore]]&lt;=70,"Medium","High"))</f>
        <v>High</v>
      </c>
      <c r="O183" t="str">
        <f>IF(Table1[[#This Row],[Age]]&lt;25,"18-24",
IF(Table1[[#This Row],[Age]]&lt;35,"25-34",
IF(Table1[[#This Row],[Age]]&lt;45,"35-44","45+")))</f>
        <v>18-24</v>
      </c>
    </row>
    <row r="184" spans="1:15" x14ac:dyDescent="0.25">
      <c r="A184" t="s">
        <v>193</v>
      </c>
      <c r="B184" s="4">
        <v>45038</v>
      </c>
      <c r="C184" s="1">
        <v>45174</v>
      </c>
      <c r="D184">
        <v>30</v>
      </c>
      <c r="E184" t="s">
        <v>912</v>
      </c>
      <c r="F184" t="s">
        <v>918</v>
      </c>
      <c r="G184" t="s">
        <v>921</v>
      </c>
      <c r="H184">
        <v>6052.44</v>
      </c>
      <c r="I184">
        <v>2</v>
      </c>
      <c r="J184">
        <v>28</v>
      </c>
      <c r="K184" t="s">
        <v>925</v>
      </c>
      <c r="L184" t="str">
        <f>IF(ISBLANK(Table1[[#This Row],[CancelDate]]),"Active","Churned")</f>
        <v>Churned</v>
      </c>
      <c r="M184">
        <f ca="1">IF(ISBLANK(Table1[[#This Row],[CancelDate]]),DATEDIF(Table1[[#This Row],[JoinDate]],TODAY(),"M"),DATEDIF(Table1[[#This Row],[JoinDate]],Table1[[#This Row],[CancelDate]],"M"))</f>
        <v>4</v>
      </c>
      <c r="N184" t="str">
        <f>IF(Table1[[#This Row],[EngagementScore]]&lt;=40,"Low",IF(Table1[[#This Row],[EngagementScore]]&lt;=70,"Medium","High"))</f>
        <v>Low</v>
      </c>
      <c r="O184" t="str">
        <f>IF(Table1[[#This Row],[Age]]&lt;25,"18-24",
IF(Table1[[#This Row],[Age]]&lt;35,"25-34",
IF(Table1[[#This Row],[Age]]&lt;45,"35-44","45+")))</f>
        <v>25-34</v>
      </c>
    </row>
    <row r="185" spans="1:15" x14ac:dyDescent="0.25">
      <c r="A185" t="s">
        <v>194</v>
      </c>
      <c r="B185" s="4">
        <v>45386</v>
      </c>
      <c r="D185">
        <v>56</v>
      </c>
      <c r="E185" t="s">
        <v>911</v>
      </c>
      <c r="F185" t="s">
        <v>917</v>
      </c>
      <c r="G185" t="s">
        <v>921</v>
      </c>
      <c r="H185">
        <v>13381</v>
      </c>
      <c r="I185">
        <v>25</v>
      </c>
      <c r="J185">
        <v>89</v>
      </c>
      <c r="K185" t="s">
        <v>925</v>
      </c>
      <c r="L185" t="str">
        <f>IF(ISBLANK(Table1[[#This Row],[CancelDate]]),"Active","Churned")</f>
        <v>Active</v>
      </c>
      <c r="M185">
        <f ca="1">IF(ISBLANK(Table1[[#This Row],[CancelDate]]),DATEDIF(Table1[[#This Row],[JoinDate]],TODAY(),"M"),DATEDIF(Table1[[#This Row],[JoinDate]],Table1[[#This Row],[CancelDate]],"M"))</f>
        <v>23</v>
      </c>
      <c r="N185" t="str">
        <f>IF(Table1[[#This Row],[EngagementScore]]&lt;=40,"Low",IF(Table1[[#This Row],[EngagementScore]]&lt;=70,"Medium","High"))</f>
        <v>High</v>
      </c>
      <c r="O185" t="str">
        <f>IF(Table1[[#This Row],[Age]]&lt;25,"18-24",
IF(Table1[[#This Row],[Age]]&lt;35,"25-34",
IF(Table1[[#This Row],[Age]]&lt;45,"35-44","45+")))</f>
        <v>45+</v>
      </c>
    </row>
    <row r="186" spans="1:15" x14ac:dyDescent="0.25">
      <c r="A186" t="s">
        <v>195</v>
      </c>
      <c r="B186" s="4">
        <v>45381</v>
      </c>
      <c r="C186" s="1">
        <v>45595</v>
      </c>
      <c r="D186">
        <v>30</v>
      </c>
      <c r="E186" t="s">
        <v>911</v>
      </c>
      <c r="F186" t="s">
        <v>915</v>
      </c>
      <c r="G186" t="s">
        <v>921</v>
      </c>
      <c r="H186">
        <v>3476.09</v>
      </c>
      <c r="I186">
        <v>7</v>
      </c>
      <c r="J186">
        <v>17</v>
      </c>
      <c r="K186" t="s">
        <v>923</v>
      </c>
      <c r="L186" t="str">
        <f>IF(ISBLANK(Table1[[#This Row],[CancelDate]]),"Active","Churned")</f>
        <v>Churned</v>
      </c>
      <c r="M186">
        <f ca="1">IF(ISBLANK(Table1[[#This Row],[CancelDate]]),DATEDIF(Table1[[#This Row],[JoinDate]],TODAY(),"M"),DATEDIF(Table1[[#This Row],[JoinDate]],Table1[[#This Row],[CancelDate]],"M"))</f>
        <v>7</v>
      </c>
      <c r="N186" t="str">
        <f>IF(Table1[[#This Row],[EngagementScore]]&lt;=40,"Low",IF(Table1[[#This Row],[EngagementScore]]&lt;=70,"Medium","High"))</f>
        <v>Low</v>
      </c>
      <c r="O186" t="str">
        <f>IF(Table1[[#This Row],[Age]]&lt;25,"18-24",
IF(Table1[[#This Row],[Age]]&lt;35,"25-34",
IF(Table1[[#This Row],[Age]]&lt;45,"35-44","45+")))</f>
        <v>25-34</v>
      </c>
    </row>
    <row r="187" spans="1:15" x14ac:dyDescent="0.25">
      <c r="A187" t="s">
        <v>196</v>
      </c>
      <c r="B187" s="4">
        <v>44809</v>
      </c>
      <c r="D187">
        <v>52</v>
      </c>
      <c r="E187" t="s">
        <v>913</v>
      </c>
      <c r="F187" t="s">
        <v>919</v>
      </c>
      <c r="G187" t="s">
        <v>922</v>
      </c>
      <c r="H187">
        <v>5891.06</v>
      </c>
      <c r="I187">
        <v>2</v>
      </c>
      <c r="J187">
        <v>12</v>
      </c>
      <c r="K187" t="s">
        <v>923</v>
      </c>
      <c r="L187" t="str">
        <f>IF(ISBLANK(Table1[[#This Row],[CancelDate]]),"Active","Churned")</f>
        <v>Active</v>
      </c>
      <c r="M187">
        <f ca="1">IF(ISBLANK(Table1[[#This Row],[CancelDate]]),DATEDIF(Table1[[#This Row],[JoinDate]],TODAY(),"M"),DATEDIF(Table1[[#This Row],[JoinDate]],Table1[[#This Row],[CancelDate]],"M"))</f>
        <v>42</v>
      </c>
      <c r="N187" t="str">
        <f>IF(Table1[[#This Row],[EngagementScore]]&lt;=40,"Low",IF(Table1[[#This Row],[EngagementScore]]&lt;=70,"Medium","High"))</f>
        <v>Low</v>
      </c>
      <c r="O187" t="str">
        <f>IF(Table1[[#This Row],[Age]]&lt;25,"18-24",
IF(Table1[[#This Row],[Age]]&lt;35,"25-34",
IF(Table1[[#This Row],[Age]]&lt;45,"35-44","45+")))</f>
        <v>45+</v>
      </c>
    </row>
    <row r="188" spans="1:15" x14ac:dyDescent="0.25">
      <c r="A188" t="s">
        <v>197</v>
      </c>
      <c r="B188" s="4">
        <v>44745</v>
      </c>
      <c r="C188" s="1">
        <v>45082</v>
      </c>
      <c r="D188">
        <v>23</v>
      </c>
      <c r="E188" t="s">
        <v>912</v>
      </c>
      <c r="F188" t="s">
        <v>914</v>
      </c>
      <c r="G188" t="s">
        <v>921</v>
      </c>
      <c r="H188">
        <v>3070.21</v>
      </c>
      <c r="I188">
        <v>2</v>
      </c>
      <c r="J188">
        <v>35</v>
      </c>
      <c r="K188" t="s">
        <v>925</v>
      </c>
      <c r="L188" t="str">
        <f>IF(ISBLANK(Table1[[#This Row],[CancelDate]]),"Active","Churned")</f>
        <v>Churned</v>
      </c>
      <c r="M188">
        <f ca="1">IF(ISBLANK(Table1[[#This Row],[CancelDate]]),DATEDIF(Table1[[#This Row],[JoinDate]],TODAY(),"M"),DATEDIF(Table1[[#This Row],[JoinDate]],Table1[[#This Row],[CancelDate]],"M"))</f>
        <v>11</v>
      </c>
      <c r="N188" t="str">
        <f>IF(Table1[[#This Row],[EngagementScore]]&lt;=40,"Low",IF(Table1[[#This Row],[EngagementScore]]&lt;=70,"Medium","High"))</f>
        <v>Low</v>
      </c>
      <c r="O188" t="str">
        <f>IF(Table1[[#This Row],[Age]]&lt;25,"18-24",
IF(Table1[[#This Row],[Age]]&lt;35,"25-34",
IF(Table1[[#This Row],[Age]]&lt;45,"35-44","45+")))</f>
        <v>18-24</v>
      </c>
    </row>
    <row r="189" spans="1:15" x14ac:dyDescent="0.25">
      <c r="A189" t="s">
        <v>198</v>
      </c>
      <c r="B189" s="4">
        <v>45195</v>
      </c>
      <c r="C189" s="1">
        <v>45524</v>
      </c>
      <c r="D189">
        <v>34</v>
      </c>
      <c r="E189" t="s">
        <v>912</v>
      </c>
      <c r="F189" t="s">
        <v>915</v>
      </c>
      <c r="G189" t="s">
        <v>921</v>
      </c>
      <c r="H189">
        <v>3315.18</v>
      </c>
      <c r="I189">
        <v>1</v>
      </c>
      <c r="J189">
        <v>16</v>
      </c>
      <c r="K189" t="s">
        <v>923</v>
      </c>
      <c r="L189" t="str">
        <f>IF(ISBLANK(Table1[[#This Row],[CancelDate]]),"Active","Churned")</f>
        <v>Churned</v>
      </c>
      <c r="M189">
        <f ca="1">IF(ISBLANK(Table1[[#This Row],[CancelDate]]),DATEDIF(Table1[[#This Row],[JoinDate]],TODAY(),"M"),DATEDIF(Table1[[#This Row],[JoinDate]],Table1[[#This Row],[CancelDate]],"M"))</f>
        <v>10</v>
      </c>
      <c r="N189" t="str">
        <f>IF(Table1[[#This Row],[EngagementScore]]&lt;=40,"Low",IF(Table1[[#This Row],[EngagementScore]]&lt;=70,"Medium","High"))</f>
        <v>Low</v>
      </c>
      <c r="O189" t="str">
        <f>IF(Table1[[#This Row],[Age]]&lt;25,"18-24",
IF(Table1[[#This Row],[Age]]&lt;35,"25-34",
IF(Table1[[#This Row],[Age]]&lt;45,"35-44","45+")))</f>
        <v>25-34</v>
      </c>
    </row>
    <row r="190" spans="1:15" x14ac:dyDescent="0.25">
      <c r="A190" t="s">
        <v>199</v>
      </c>
      <c r="B190" s="4">
        <v>44638</v>
      </c>
      <c r="D190">
        <v>53</v>
      </c>
      <c r="E190" t="s">
        <v>912</v>
      </c>
      <c r="F190" t="s">
        <v>918</v>
      </c>
      <c r="G190" t="s">
        <v>921</v>
      </c>
      <c r="H190">
        <v>10179.14</v>
      </c>
      <c r="I190">
        <v>13</v>
      </c>
      <c r="J190">
        <v>54</v>
      </c>
      <c r="K190" t="s">
        <v>923</v>
      </c>
      <c r="L190" t="str">
        <f>IF(ISBLANK(Table1[[#This Row],[CancelDate]]),"Active","Churned")</f>
        <v>Active</v>
      </c>
      <c r="M190">
        <f ca="1">IF(ISBLANK(Table1[[#This Row],[CancelDate]]),DATEDIF(Table1[[#This Row],[JoinDate]],TODAY(),"M"),DATEDIF(Table1[[#This Row],[JoinDate]],Table1[[#This Row],[CancelDate]],"M"))</f>
        <v>48</v>
      </c>
      <c r="N190" t="str">
        <f>IF(Table1[[#This Row],[EngagementScore]]&lt;=40,"Low",IF(Table1[[#This Row],[EngagementScore]]&lt;=70,"Medium","High"))</f>
        <v>Medium</v>
      </c>
      <c r="O190" t="str">
        <f>IF(Table1[[#This Row],[Age]]&lt;25,"18-24",
IF(Table1[[#This Row],[Age]]&lt;35,"25-34",
IF(Table1[[#This Row],[Age]]&lt;45,"35-44","45+")))</f>
        <v>45+</v>
      </c>
    </row>
    <row r="191" spans="1:15" x14ac:dyDescent="0.25">
      <c r="A191" t="s">
        <v>200</v>
      </c>
      <c r="B191" s="4">
        <v>45439</v>
      </c>
      <c r="D191">
        <v>22</v>
      </c>
      <c r="E191" t="s">
        <v>912</v>
      </c>
      <c r="F191" t="s">
        <v>918</v>
      </c>
      <c r="G191" t="s">
        <v>921</v>
      </c>
      <c r="H191">
        <v>27659.09</v>
      </c>
      <c r="I191">
        <v>20</v>
      </c>
      <c r="J191">
        <v>88</v>
      </c>
      <c r="K191" t="s">
        <v>924</v>
      </c>
      <c r="L191" t="str">
        <f>IF(ISBLANK(Table1[[#This Row],[CancelDate]]),"Active","Churned")</f>
        <v>Active</v>
      </c>
      <c r="M191">
        <f ca="1">IF(ISBLANK(Table1[[#This Row],[CancelDate]]),DATEDIF(Table1[[#This Row],[JoinDate]],TODAY(),"M"),DATEDIF(Table1[[#This Row],[JoinDate]],Table1[[#This Row],[CancelDate]],"M"))</f>
        <v>22</v>
      </c>
      <c r="N191" t="str">
        <f>IF(Table1[[#This Row],[EngagementScore]]&lt;=40,"Low",IF(Table1[[#This Row],[EngagementScore]]&lt;=70,"Medium","High"))</f>
        <v>High</v>
      </c>
      <c r="O191" t="str">
        <f>IF(Table1[[#This Row],[Age]]&lt;25,"18-24",
IF(Table1[[#This Row],[Age]]&lt;35,"25-34",
IF(Table1[[#This Row],[Age]]&lt;45,"35-44","45+")))</f>
        <v>18-24</v>
      </c>
    </row>
    <row r="192" spans="1:15" x14ac:dyDescent="0.25">
      <c r="A192" t="s">
        <v>201</v>
      </c>
      <c r="B192" s="4">
        <v>45273</v>
      </c>
      <c r="D192">
        <v>44</v>
      </c>
      <c r="E192" t="s">
        <v>911</v>
      </c>
      <c r="F192" t="s">
        <v>917</v>
      </c>
      <c r="G192" t="s">
        <v>921</v>
      </c>
      <c r="H192">
        <v>8510.0300000000007</v>
      </c>
      <c r="I192">
        <v>5</v>
      </c>
      <c r="J192">
        <v>60</v>
      </c>
      <c r="K192" t="s">
        <v>923</v>
      </c>
      <c r="L192" t="str">
        <f>IF(ISBLANK(Table1[[#This Row],[CancelDate]]),"Active","Churned")</f>
        <v>Active</v>
      </c>
      <c r="M192">
        <f ca="1">IF(ISBLANK(Table1[[#This Row],[CancelDate]]),DATEDIF(Table1[[#This Row],[JoinDate]],TODAY(),"M"),DATEDIF(Table1[[#This Row],[JoinDate]],Table1[[#This Row],[CancelDate]],"M"))</f>
        <v>27</v>
      </c>
      <c r="N192" t="str">
        <f>IF(Table1[[#This Row],[EngagementScore]]&lt;=40,"Low",IF(Table1[[#This Row],[EngagementScore]]&lt;=70,"Medium","High"))</f>
        <v>Medium</v>
      </c>
      <c r="O192" t="str">
        <f>IF(Table1[[#This Row],[Age]]&lt;25,"18-24",
IF(Table1[[#This Row],[Age]]&lt;35,"25-34",
IF(Table1[[#This Row],[Age]]&lt;45,"35-44","45+")))</f>
        <v>35-44</v>
      </c>
    </row>
    <row r="193" spans="1:15" x14ac:dyDescent="0.25">
      <c r="A193" t="s">
        <v>202</v>
      </c>
      <c r="B193" s="4">
        <v>44647</v>
      </c>
      <c r="D193">
        <v>35</v>
      </c>
      <c r="E193" t="s">
        <v>912</v>
      </c>
      <c r="F193" t="s">
        <v>916</v>
      </c>
      <c r="G193" t="s">
        <v>922</v>
      </c>
      <c r="H193">
        <v>17709.29</v>
      </c>
      <c r="I193">
        <v>28</v>
      </c>
      <c r="J193">
        <v>82</v>
      </c>
      <c r="K193" t="s">
        <v>924</v>
      </c>
      <c r="L193" t="str">
        <f>IF(ISBLANK(Table1[[#This Row],[CancelDate]]),"Active","Churned")</f>
        <v>Active</v>
      </c>
      <c r="M193">
        <f ca="1">IF(ISBLANK(Table1[[#This Row],[CancelDate]]),DATEDIF(Table1[[#This Row],[JoinDate]],TODAY(),"M"),DATEDIF(Table1[[#This Row],[JoinDate]],Table1[[#This Row],[CancelDate]],"M"))</f>
        <v>48</v>
      </c>
      <c r="N193" t="str">
        <f>IF(Table1[[#This Row],[EngagementScore]]&lt;=40,"Low",IF(Table1[[#This Row],[EngagementScore]]&lt;=70,"Medium","High"))</f>
        <v>High</v>
      </c>
      <c r="O193" t="str">
        <f>IF(Table1[[#This Row],[Age]]&lt;25,"18-24",
IF(Table1[[#This Row],[Age]]&lt;35,"25-34",
IF(Table1[[#This Row],[Age]]&lt;45,"35-44","45+")))</f>
        <v>35-44</v>
      </c>
    </row>
    <row r="194" spans="1:15" x14ac:dyDescent="0.25">
      <c r="A194" t="s">
        <v>203</v>
      </c>
      <c r="B194" s="4">
        <v>45260</v>
      </c>
      <c r="D194">
        <v>58</v>
      </c>
      <c r="E194" t="s">
        <v>912</v>
      </c>
      <c r="F194" t="s">
        <v>915</v>
      </c>
      <c r="G194" t="s">
        <v>922</v>
      </c>
      <c r="H194">
        <v>15824.85</v>
      </c>
      <c r="I194">
        <v>14</v>
      </c>
      <c r="J194">
        <v>81</v>
      </c>
      <c r="K194" t="s">
        <v>925</v>
      </c>
      <c r="L194" t="str">
        <f>IF(ISBLANK(Table1[[#This Row],[CancelDate]]),"Active","Churned")</f>
        <v>Active</v>
      </c>
      <c r="M194">
        <f ca="1">IF(ISBLANK(Table1[[#This Row],[CancelDate]]),DATEDIF(Table1[[#This Row],[JoinDate]],TODAY(),"M"),DATEDIF(Table1[[#This Row],[JoinDate]],Table1[[#This Row],[CancelDate]],"M"))</f>
        <v>28</v>
      </c>
      <c r="N194" t="str">
        <f>IF(Table1[[#This Row],[EngagementScore]]&lt;=40,"Low",IF(Table1[[#This Row],[EngagementScore]]&lt;=70,"Medium","High"))</f>
        <v>High</v>
      </c>
      <c r="O194" t="str">
        <f>IF(Table1[[#This Row],[Age]]&lt;25,"18-24",
IF(Table1[[#This Row],[Age]]&lt;35,"25-34",
IF(Table1[[#This Row],[Age]]&lt;45,"35-44","45+")))</f>
        <v>45+</v>
      </c>
    </row>
    <row r="195" spans="1:15" x14ac:dyDescent="0.25">
      <c r="A195" t="s">
        <v>204</v>
      </c>
      <c r="B195" s="4">
        <v>45371</v>
      </c>
      <c r="D195">
        <v>39</v>
      </c>
      <c r="E195" t="s">
        <v>912</v>
      </c>
      <c r="F195" t="s">
        <v>918</v>
      </c>
      <c r="G195" t="s">
        <v>921</v>
      </c>
      <c r="H195">
        <v>14884.92</v>
      </c>
      <c r="I195">
        <v>10</v>
      </c>
      <c r="J195">
        <v>48</v>
      </c>
      <c r="K195" t="s">
        <v>925</v>
      </c>
      <c r="L195" t="str">
        <f>IF(ISBLANK(Table1[[#This Row],[CancelDate]]),"Active","Churned")</f>
        <v>Active</v>
      </c>
      <c r="M195">
        <f ca="1">IF(ISBLANK(Table1[[#This Row],[CancelDate]]),DATEDIF(Table1[[#This Row],[JoinDate]],TODAY(),"M"),DATEDIF(Table1[[#This Row],[JoinDate]],Table1[[#This Row],[CancelDate]],"M"))</f>
        <v>24</v>
      </c>
      <c r="N195" t="str">
        <f>IF(Table1[[#This Row],[EngagementScore]]&lt;=40,"Low",IF(Table1[[#This Row],[EngagementScore]]&lt;=70,"Medium","High"))</f>
        <v>Medium</v>
      </c>
      <c r="O195" t="str">
        <f>IF(Table1[[#This Row],[Age]]&lt;25,"18-24",
IF(Table1[[#This Row],[Age]]&lt;35,"25-34",
IF(Table1[[#This Row],[Age]]&lt;45,"35-44","45+")))</f>
        <v>35-44</v>
      </c>
    </row>
    <row r="196" spans="1:15" x14ac:dyDescent="0.25">
      <c r="A196" t="s">
        <v>205</v>
      </c>
      <c r="B196" s="4">
        <v>44792</v>
      </c>
      <c r="D196">
        <v>22</v>
      </c>
      <c r="E196" t="s">
        <v>911</v>
      </c>
      <c r="F196" t="s">
        <v>917</v>
      </c>
      <c r="G196" t="s">
        <v>921</v>
      </c>
      <c r="H196">
        <v>8979.4500000000007</v>
      </c>
      <c r="I196">
        <v>10</v>
      </c>
      <c r="J196">
        <v>61</v>
      </c>
      <c r="K196" t="s">
        <v>925</v>
      </c>
      <c r="L196" t="str">
        <f>IF(ISBLANK(Table1[[#This Row],[CancelDate]]),"Active","Churned")</f>
        <v>Active</v>
      </c>
      <c r="M196">
        <f ca="1">IF(ISBLANK(Table1[[#This Row],[CancelDate]]),DATEDIF(Table1[[#This Row],[JoinDate]],TODAY(),"M"),DATEDIF(Table1[[#This Row],[JoinDate]],Table1[[#This Row],[CancelDate]],"M"))</f>
        <v>43</v>
      </c>
      <c r="N196" t="str">
        <f>IF(Table1[[#This Row],[EngagementScore]]&lt;=40,"Low",IF(Table1[[#This Row],[EngagementScore]]&lt;=70,"Medium","High"))</f>
        <v>Medium</v>
      </c>
      <c r="O196" t="str">
        <f>IF(Table1[[#This Row],[Age]]&lt;25,"18-24",
IF(Table1[[#This Row],[Age]]&lt;35,"25-34",
IF(Table1[[#This Row],[Age]]&lt;45,"35-44","45+")))</f>
        <v>18-24</v>
      </c>
    </row>
    <row r="197" spans="1:15" x14ac:dyDescent="0.25">
      <c r="A197" t="s">
        <v>206</v>
      </c>
      <c r="B197" s="4">
        <v>45373</v>
      </c>
      <c r="D197">
        <v>36</v>
      </c>
      <c r="E197" t="s">
        <v>911</v>
      </c>
      <c r="F197" t="s">
        <v>919</v>
      </c>
      <c r="G197" t="s">
        <v>921</v>
      </c>
      <c r="H197">
        <v>6571.38</v>
      </c>
      <c r="I197">
        <v>11</v>
      </c>
      <c r="J197">
        <v>67</v>
      </c>
      <c r="K197" t="s">
        <v>925</v>
      </c>
      <c r="L197" t="str">
        <f>IF(ISBLANK(Table1[[#This Row],[CancelDate]]),"Active","Churned")</f>
        <v>Active</v>
      </c>
      <c r="M197">
        <f ca="1">IF(ISBLANK(Table1[[#This Row],[CancelDate]]),DATEDIF(Table1[[#This Row],[JoinDate]],TODAY(),"M"),DATEDIF(Table1[[#This Row],[JoinDate]],Table1[[#This Row],[CancelDate]],"M"))</f>
        <v>24</v>
      </c>
      <c r="N197" t="str">
        <f>IF(Table1[[#This Row],[EngagementScore]]&lt;=40,"Low",IF(Table1[[#This Row],[EngagementScore]]&lt;=70,"Medium","High"))</f>
        <v>Medium</v>
      </c>
      <c r="O197" t="str">
        <f>IF(Table1[[#This Row],[Age]]&lt;25,"18-24",
IF(Table1[[#This Row],[Age]]&lt;35,"25-34",
IF(Table1[[#This Row],[Age]]&lt;45,"35-44","45+")))</f>
        <v>35-44</v>
      </c>
    </row>
    <row r="198" spans="1:15" x14ac:dyDescent="0.25">
      <c r="A198" t="s">
        <v>207</v>
      </c>
      <c r="B198" s="4">
        <v>44877</v>
      </c>
      <c r="C198" s="1">
        <v>45060</v>
      </c>
      <c r="D198">
        <v>51</v>
      </c>
      <c r="E198" t="s">
        <v>911</v>
      </c>
      <c r="F198" t="s">
        <v>916</v>
      </c>
      <c r="G198" t="s">
        <v>920</v>
      </c>
      <c r="H198">
        <v>25346.83</v>
      </c>
      <c r="I198">
        <v>17</v>
      </c>
      <c r="J198">
        <v>86</v>
      </c>
      <c r="K198" t="s">
        <v>925</v>
      </c>
      <c r="L198" t="str">
        <f>IF(ISBLANK(Table1[[#This Row],[CancelDate]]),"Active","Churned")</f>
        <v>Churned</v>
      </c>
      <c r="M198">
        <f ca="1">IF(ISBLANK(Table1[[#This Row],[CancelDate]]),DATEDIF(Table1[[#This Row],[JoinDate]],TODAY(),"M"),DATEDIF(Table1[[#This Row],[JoinDate]],Table1[[#This Row],[CancelDate]],"M"))</f>
        <v>6</v>
      </c>
      <c r="N198" t="str">
        <f>IF(Table1[[#This Row],[EngagementScore]]&lt;=40,"Low",IF(Table1[[#This Row],[EngagementScore]]&lt;=70,"Medium","High"))</f>
        <v>High</v>
      </c>
      <c r="O198" t="str">
        <f>IF(Table1[[#This Row],[Age]]&lt;25,"18-24",
IF(Table1[[#This Row],[Age]]&lt;35,"25-34",
IF(Table1[[#This Row],[Age]]&lt;45,"35-44","45+")))</f>
        <v>45+</v>
      </c>
    </row>
    <row r="199" spans="1:15" x14ac:dyDescent="0.25">
      <c r="A199" t="s">
        <v>208</v>
      </c>
      <c r="B199" s="4">
        <v>45412</v>
      </c>
      <c r="D199">
        <v>21</v>
      </c>
      <c r="E199" t="s">
        <v>911</v>
      </c>
      <c r="F199" t="s">
        <v>914</v>
      </c>
      <c r="G199" t="s">
        <v>921</v>
      </c>
      <c r="H199">
        <v>5047.78</v>
      </c>
      <c r="I199">
        <v>11</v>
      </c>
      <c r="J199">
        <v>69</v>
      </c>
      <c r="K199" t="s">
        <v>925</v>
      </c>
      <c r="L199" t="str">
        <f>IF(ISBLANK(Table1[[#This Row],[CancelDate]]),"Active","Churned")</f>
        <v>Active</v>
      </c>
      <c r="M199">
        <f ca="1">IF(ISBLANK(Table1[[#This Row],[CancelDate]]),DATEDIF(Table1[[#This Row],[JoinDate]],TODAY(),"M"),DATEDIF(Table1[[#This Row],[JoinDate]],Table1[[#This Row],[CancelDate]],"M"))</f>
        <v>23</v>
      </c>
      <c r="N199" t="str">
        <f>IF(Table1[[#This Row],[EngagementScore]]&lt;=40,"Low",IF(Table1[[#This Row],[EngagementScore]]&lt;=70,"Medium","High"))</f>
        <v>Medium</v>
      </c>
      <c r="O199" t="str">
        <f>IF(Table1[[#This Row],[Age]]&lt;25,"18-24",
IF(Table1[[#This Row],[Age]]&lt;35,"25-34",
IF(Table1[[#This Row],[Age]]&lt;45,"35-44","45+")))</f>
        <v>18-24</v>
      </c>
    </row>
    <row r="200" spans="1:15" x14ac:dyDescent="0.25">
      <c r="A200" t="s">
        <v>209</v>
      </c>
      <c r="B200" s="4">
        <v>45137</v>
      </c>
      <c r="D200">
        <v>32</v>
      </c>
      <c r="E200" t="s">
        <v>911</v>
      </c>
      <c r="F200" t="s">
        <v>918</v>
      </c>
      <c r="G200" t="s">
        <v>922</v>
      </c>
      <c r="H200">
        <v>14132.71</v>
      </c>
      <c r="I200">
        <v>23</v>
      </c>
      <c r="J200">
        <v>91</v>
      </c>
      <c r="K200" t="s">
        <v>925</v>
      </c>
      <c r="L200" t="str">
        <f>IF(ISBLANK(Table1[[#This Row],[CancelDate]]),"Active","Churned")</f>
        <v>Active</v>
      </c>
      <c r="M200">
        <f ca="1">IF(ISBLANK(Table1[[#This Row],[CancelDate]]),DATEDIF(Table1[[#This Row],[JoinDate]],TODAY(),"M"),DATEDIF(Table1[[#This Row],[JoinDate]],Table1[[#This Row],[CancelDate]],"M"))</f>
        <v>32</v>
      </c>
      <c r="N200" t="str">
        <f>IF(Table1[[#This Row],[EngagementScore]]&lt;=40,"Low",IF(Table1[[#This Row],[EngagementScore]]&lt;=70,"Medium","High"))</f>
        <v>High</v>
      </c>
      <c r="O200" t="str">
        <f>IF(Table1[[#This Row],[Age]]&lt;25,"18-24",
IF(Table1[[#This Row],[Age]]&lt;35,"25-34",
IF(Table1[[#This Row],[Age]]&lt;45,"35-44","45+")))</f>
        <v>25-34</v>
      </c>
    </row>
    <row r="201" spans="1:15" x14ac:dyDescent="0.25">
      <c r="A201" t="s">
        <v>210</v>
      </c>
      <c r="B201" s="4">
        <v>44962</v>
      </c>
      <c r="D201">
        <v>21</v>
      </c>
      <c r="E201" t="s">
        <v>912</v>
      </c>
      <c r="F201" t="s">
        <v>918</v>
      </c>
      <c r="G201" t="s">
        <v>920</v>
      </c>
      <c r="H201">
        <v>4516.96</v>
      </c>
      <c r="I201">
        <v>5</v>
      </c>
      <c r="J201">
        <v>15</v>
      </c>
      <c r="K201" t="s">
        <v>925</v>
      </c>
      <c r="L201" t="str">
        <f>IF(ISBLANK(Table1[[#This Row],[CancelDate]]),"Active","Churned")</f>
        <v>Active</v>
      </c>
      <c r="M201">
        <f ca="1">IF(ISBLANK(Table1[[#This Row],[CancelDate]]),DATEDIF(Table1[[#This Row],[JoinDate]],TODAY(),"M"),DATEDIF(Table1[[#This Row],[JoinDate]],Table1[[#This Row],[CancelDate]],"M"))</f>
        <v>37</v>
      </c>
      <c r="N201" t="str">
        <f>IF(Table1[[#This Row],[EngagementScore]]&lt;=40,"Low",IF(Table1[[#This Row],[EngagementScore]]&lt;=70,"Medium","High"))</f>
        <v>Low</v>
      </c>
      <c r="O201" t="str">
        <f>IF(Table1[[#This Row],[Age]]&lt;25,"18-24",
IF(Table1[[#This Row],[Age]]&lt;35,"25-34",
IF(Table1[[#This Row],[Age]]&lt;45,"35-44","45+")))</f>
        <v>18-24</v>
      </c>
    </row>
    <row r="202" spans="1:15" x14ac:dyDescent="0.25">
      <c r="A202" t="s">
        <v>211</v>
      </c>
      <c r="B202" s="4">
        <v>44597</v>
      </c>
      <c r="D202">
        <v>24</v>
      </c>
      <c r="E202" t="s">
        <v>912</v>
      </c>
      <c r="F202" t="s">
        <v>918</v>
      </c>
      <c r="G202" t="s">
        <v>921</v>
      </c>
      <c r="H202">
        <v>14314.21</v>
      </c>
      <c r="I202">
        <v>24</v>
      </c>
      <c r="J202">
        <v>78</v>
      </c>
      <c r="K202" t="s">
        <v>925</v>
      </c>
      <c r="L202" t="str">
        <f>IF(ISBLANK(Table1[[#This Row],[CancelDate]]),"Active","Churned")</f>
        <v>Active</v>
      </c>
      <c r="M202">
        <f ca="1">IF(ISBLANK(Table1[[#This Row],[CancelDate]]),DATEDIF(Table1[[#This Row],[JoinDate]],TODAY(),"M"),DATEDIF(Table1[[#This Row],[JoinDate]],Table1[[#This Row],[CancelDate]],"M"))</f>
        <v>49</v>
      </c>
      <c r="N202" t="str">
        <f>IF(Table1[[#This Row],[EngagementScore]]&lt;=40,"Low",IF(Table1[[#This Row],[EngagementScore]]&lt;=70,"Medium","High"))</f>
        <v>High</v>
      </c>
      <c r="O202" t="str">
        <f>IF(Table1[[#This Row],[Age]]&lt;25,"18-24",
IF(Table1[[#This Row],[Age]]&lt;35,"25-34",
IF(Table1[[#This Row],[Age]]&lt;45,"35-44","45+")))</f>
        <v>18-24</v>
      </c>
    </row>
    <row r="203" spans="1:15" x14ac:dyDescent="0.25">
      <c r="A203" t="s">
        <v>212</v>
      </c>
      <c r="B203" s="4">
        <v>45151</v>
      </c>
      <c r="D203">
        <v>40</v>
      </c>
      <c r="E203" t="s">
        <v>912</v>
      </c>
      <c r="F203" t="s">
        <v>917</v>
      </c>
      <c r="G203" t="s">
        <v>921</v>
      </c>
      <c r="H203">
        <v>14611.03</v>
      </c>
      <c r="I203">
        <v>21</v>
      </c>
      <c r="J203">
        <v>88</v>
      </c>
      <c r="K203" t="s">
        <v>925</v>
      </c>
      <c r="L203" t="str">
        <f>IF(ISBLANK(Table1[[#This Row],[CancelDate]]),"Active","Churned")</f>
        <v>Active</v>
      </c>
      <c r="M203">
        <f ca="1">IF(ISBLANK(Table1[[#This Row],[CancelDate]]),DATEDIF(Table1[[#This Row],[JoinDate]],TODAY(),"M"),DATEDIF(Table1[[#This Row],[JoinDate]],Table1[[#This Row],[CancelDate]],"M"))</f>
        <v>31</v>
      </c>
      <c r="N203" t="str">
        <f>IF(Table1[[#This Row],[EngagementScore]]&lt;=40,"Low",IF(Table1[[#This Row],[EngagementScore]]&lt;=70,"Medium","High"))</f>
        <v>High</v>
      </c>
      <c r="O203" t="str">
        <f>IF(Table1[[#This Row],[Age]]&lt;25,"18-24",
IF(Table1[[#This Row],[Age]]&lt;35,"25-34",
IF(Table1[[#This Row],[Age]]&lt;45,"35-44","45+")))</f>
        <v>35-44</v>
      </c>
    </row>
    <row r="204" spans="1:15" x14ac:dyDescent="0.25">
      <c r="A204" t="s">
        <v>213</v>
      </c>
      <c r="B204" s="4">
        <v>44850</v>
      </c>
      <c r="D204">
        <v>47</v>
      </c>
      <c r="E204" t="s">
        <v>911</v>
      </c>
      <c r="F204" t="s">
        <v>915</v>
      </c>
      <c r="G204" t="s">
        <v>922</v>
      </c>
      <c r="H204">
        <v>4132.91</v>
      </c>
      <c r="I204">
        <v>5</v>
      </c>
      <c r="J204">
        <v>23</v>
      </c>
      <c r="K204" t="s">
        <v>924</v>
      </c>
      <c r="L204" t="str">
        <f>IF(ISBLANK(Table1[[#This Row],[CancelDate]]),"Active","Churned")</f>
        <v>Active</v>
      </c>
      <c r="M204">
        <f ca="1">IF(ISBLANK(Table1[[#This Row],[CancelDate]]),DATEDIF(Table1[[#This Row],[JoinDate]],TODAY(),"M"),DATEDIF(Table1[[#This Row],[JoinDate]],Table1[[#This Row],[CancelDate]],"M"))</f>
        <v>41</v>
      </c>
      <c r="N204" t="str">
        <f>IF(Table1[[#This Row],[EngagementScore]]&lt;=40,"Low",IF(Table1[[#This Row],[EngagementScore]]&lt;=70,"Medium","High"))</f>
        <v>Low</v>
      </c>
      <c r="O204" t="str">
        <f>IF(Table1[[#This Row],[Age]]&lt;25,"18-24",
IF(Table1[[#This Row],[Age]]&lt;35,"25-34",
IF(Table1[[#This Row],[Age]]&lt;45,"35-44","45+")))</f>
        <v>45+</v>
      </c>
    </row>
    <row r="205" spans="1:15" x14ac:dyDescent="0.25">
      <c r="A205" t="s">
        <v>214</v>
      </c>
      <c r="B205" s="4">
        <v>45191</v>
      </c>
      <c r="D205">
        <v>25</v>
      </c>
      <c r="E205" t="s">
        <v>911</v>
      </c>
      <c r="F205" t="s">
        <v>917</v>
      </c>
      <c r="G205" t="s">
        <v>921</v>
      </c>
      <c r="H205">
        <v>6480.36</v>
      </c>
      <c r="I205">
        <v>5</v>
      </c>
      <c r="J205">
        <v>69</v>
      </c>
      <c r="K205" t="s">
        <v>923</v>
      </c>
      <c r="L205" t="str">
        <f>IF(ISBLANK(Table1[[#This Row],[CancelDate]]),"Active","Churned")</f>
        <v>Active</v>
      </c>
      <c r="M205">
        <f ca="1">IF(ISBLANK(Table1[[#This Row],[CancelDate]]),DATEDIF(Table1[[#This Row],[JoinDate]],TODAY(),"M"),DATEDIF(Table1[[#This Row],[JoinDate]],Table1[[#This Row],[CancelDate]],"M"))</f>
        <v>30</v>
      </c>
      <c r="N205" t="str">
        <f>IF(Table1[[#This Row],[EngagementScore]]&lt;=40,"Low",IF(Table1[[#This Row],[EngagementScore]]&lt;=70,"Medium","High"))</f>
        <v>Medium</v>
      </c>
      <c r="O205" t="str">
        <f>IF(Table1[[#This Row],[Age]]&lt;25,"18-24",
IF(Table1[[#This Row],[Age]]&lt;35,"25-34",
IF(Table1[[#This Row],[Age]]&lt;45,"35-44","45+")))</f>
        <v>25-34</v>
      </c>
    </row>
    <row r="206" spans="1:15" x14ac:dyDescent="0.25">
      <c r="A206" t="s">
        <v>215</v>
      </c>
      <c r="B206" s="4">
        <v>45289</v>
      </c>
      <c r="D206">
        <v>19</v>
      </c>
      <c r="E206" t="s">
        <v>911</v>
      </c>
      <c r="F206" t="s">
        <v>919</v>
      </c>
      <c r="G206" t="s">
        <v>921</v>
      </c>
      <c r="H206">
        <v>6770.45</v>
      </c>
      <c r="I206">
        <v>2</v>
      </c>
      <c r="J206">
        <v>39</v>
      </c>
      <c r="K206" t="s">
        <v>925</v>
      </c>
      <c r="L206" t="str">
        <f>IF(ISBLANK(Table1[[#This Row],[CancelDate]]),"Active","Churned")</f>
        <v>Active</v>
      </c>
      <c r="M206">
        <f ca="1">IF(ISBLANK(Table1[[#This Row],[CancelDate]]),DATEDIF(Table1[[#This Row],[JoinDate]],TODAY(),"M"),DATEDIF(Table1[[#This Row],[JoinDate]],Table1[[#This Row],[CancelDate]],"M"))</f>
        <v>27</v>
      </c>
      <c r="N206" t="str">
        <f>IF(Table1[[#This Row],[EngagementScore]]&lt;=40,"Low",IF(Table1[[#This Row],[EngagementScore]]&lt;=70,"Medium","High"))</f>
        <v>Low</v>
      </c>
      <c r="O206" t="str">
        <f>IF(Table1[[#This Row],[Age]]&lt;25,"18-24",
IF(Table1[[#This Row],[Age]]&lt;35,"25-34",
IF(Table1[[#This Row],[Age]]&lt;45,"35-44","45+")))</f>
        <v>18-24</v>
      </c>
    </row>
    <row r="207" spans="1:15" x14ac:dyDescent="0.25">
      <c r="A207" t="s">
        <v>216</v>
      </c>
      <c r="B207" s="4">
        <v>44723</v>
      </c>
      <c r="C207" s="1">
        <v>44901</v>
      </c>
      <c r="D207">
        <v>31</v>
      </c>
      <c r="E207" t="s">
        <v>911</v>
      </c>
      <c r="F207" t="s">
        <v>917</v>
      </c>
      <c r="G207" t="s">
        <v>922</v>
      </c>
      <c r="H207">
        <v>4928.38</v>
      </c>
      <c r="I207">
        <v>6</v>
      </c>
      <c r="J207">
        <v>31</v>
      </c>
      <c r="K207" t="s">
        <v>925</v>
      </c>
      <c r="L207" t="str">
        <f>IF(ISBLANK(Table1[[#This Row],[CancelDate]]),"Active","Churned")</f>
        <v>Churned</v>
      </c>
      <c r="M207">
        <f ca="1">IF(ISBLANK(Table1[[#This Row],[CancelDate]]),DATEDIF(Table1[[#This Row],[JoinDate]],TODAY(),"M"),DATEDIF(Table1[[#This Row],[JoinDate]],Table1[[#This Row],[CancelDate]],"M"))</f>
        <v>5</v>
      </c>
      <c r="N207" t="str">
        <f>IF(Table1[[#This Row],[EngagementScore]]&lt;=40,"Low",IF(Table1[[#This Row],[EngagementScore]]&lt;=70,"Medium","High"))</f>
        <v>Low</v>
      </c>
      <c r="O207" t="str">
        <f>IF(Table1[[#This Row],[Age]]&lt;25,"18-24",
IF(Table1[[#This Row],[Age]]&lt;35,"25-34",
IF(Table1[[#This Row],[Age]]&lt;45,"35-44","45+")))</f>
        <v>25-34</v>
      </c>
    </row>
    <row r="208" spans="1:15" x14ac:dyDescent="0.25">
      <c r="A208" t="s">
        <v>217</v>
      </c>
      <c r="B208" s="4">
        <v>44607</v>
      </c>
      <c r="D208">
        <v>37</v>
      </c>
      <c r="E208" t="s">
        <v>912</v>
      </c>
      <c r="F208" t="s">
        <v>918</v>
      </c>
      <c r="G208" t="s">
        <v>922</v>
      </c>
      <c r="H208">
        <v>5362.24</v>
      </c>
      <c r="I208">
        <v>5</v>
      </c>
      <c r="J208">
        <v>36</v>
      </c>
      <c r="K208" t="s">
        <v>923</v>
      </c>
      <c r="L208" t="str">
        <f>IF(ISBLANK(Table1[[#This Row],[CancelDate]]),"Active","Churned")</f>
        <v>Active</v>
      </c>
      <c r="M208">
        <f ca="1">IF(ISBLANK(Table1[[#This Row],[CancelDate]]),DATEDIF(Table1[[#This Row],[JoinDate]],TODAY(),"M"),DATEDIF(Table1[[#This Row],[JoinDate]],Table1[[#This Row],[CancelDate]],"M"))</f>
        <v>49</v>
      </c>
      <c r="N208" t="str">
        <f>IF(Table1[[#This Row],[EngagementScore]]&lt;=40,"Low",IF(Table1[[#This Row],[EngagementScore]]&lt;=70,"Medium","High"))</f>
        <v>Low</v>
      </c>
      <c r="O208" t="str">
        <f>IF(Table1[[#This Row],[Age]]&lt;25,"18-24",
IF(Table1[[#This Row],[Age]]&lt;35,"25-34",
IF(Table1[[#This Row],[Age]]&lt;45,"35-44","45+")))</f>
        <v>35-44</v>
      </c>
    </row>
    <row r="209" spans="1:15" x14ac:dyDescent="0.25">
      <c r="A209" t="s">
        <v>218</v>
      </c>
      <c r="B209" s="4">
        <v>45190</v>
      </c>
      <c r="C209" s="1">
        <v>45447</v>
      </c>
      <c r="D209">
        <v>56</v>
      </c>
      <c r="E209" t="s">
        <v>911</v>
      </c>
      <c r="F209" t="s">
        <v>917</v>
      </c>
      <c r="G209" t="s">
        <v>922</v>
      </c>
      <c r="H209">
        <v>5985.58</v>
      </c>
      <c r="I209">
        <v>4</v>
      </c>
      <c r="J209">
        <v>21</v>
      </c>
      <c r="K209" t="s">
        <v>925</v>
      </c>
      <c r="L209" t="str">
        <f>IF(ISBLANK(Table1[[#This Row],[CancelDate]]),"Active","Churned")</f>
        <v>Churned</v>
      </c>
      <c r="M209">
        <f ca="1">IF(ISBLANK(Table1[[#This Row],[CancelDate]]),DATEDIF(Table1[[#This Row],[JoinDate]],TODAY(),"M"),DATEDIF(Table1[[#This Row],[JoinDate]],Table1[[#This Row],[CancelDate]],"M"))</f>
        <v>8</v>
      </c>
      <c r="N209" t="str">
        <f>IF(Table1[[#This Row],[EngagementScore]]&lt;=40,"Low",IF(Table1[[#This Row],[EngagementScore]]&lt;=70,"Medium","High"))</f>
        <v>Low</v>
      </c>
      <c r="O209" t="str">
        <f>IF(Table1[[#This Row],[Age]]&lt;25,"18-24",
IF(Table1[[#This Row],[Age]]&lt;35,"25-34",
IF(Table1[[#This Row],[Age]]&lt;45,"35-44","45+")))</f>
        <v>45+</v>
      </c>
    </row>
    <row r="210" spans="1:15" x14ac:dyDescent="0.25">
      <c r="A210" t="s">
        <v>219</v>
      </c>
      <c r="B210" s="4">
        <v>45037</v>
      </c>
      <c r="D210">
        <v>22</v>
      </c>
      <c r="E210" t="s">
        <v>912</v>
      </c>
      <c r="F210" t="s">
        <v>917</v>
      </c>
      <c r="G210" t="s">
        <v>921</v>
      </c>
      <c r="H210">
        <v>9241.93</v>
      </c>
      <c r="I210">
        <v>6</v>
      </c>
      <c r="J210">
        <v>53</v>
      </c>
      <c r="K210" t="s">
        <v>923</v>
      </c>
      <c r="L210" t="str">
        <f>IF(ISBLANK(Table1[[#This Row],[CancelDate]]),"Active","Churned")</f>
        <v>Active</v>
      </c>
      <c r="M210">
        <f ca="1">IF(ISBLANK(Table1[[#This Row],[CancelDate]]),DATEDIF(Table1[[#This Row],[JoinDate]],TODAY(),"M"),DATEDIF(Table1[[#This Row],[JoinDate]],Table1[[#This Row],[CancelDate]],"M"))</f>
        <v>35</v>
      </c>
      <c r="N210" t="str">
        <f>IF(Table1[[#This Row],[EngagementScore]]&lt;=40,"Low",IF(Table1[[#This Row],[EngagementScore]]&lt;=70,"Medium","High"))</f>
        <v>Medium</v>
      </c>
      <c r="O210" t="str">
        <f>IF(Table1[[#This Row],[Age]]&lt;25,"18-24",
IF(Table1[[#This Row],[Age]]&lt;35,"25-34",
IF(Table1[[#This Row],[Age]]&lt;45,"35-44","45+")))</f>
        <v>18-24</v>
      </c>
    </row>
    <row r="211" spans="1:15" x14ac:dyDescent="0.25">
      <c r="A211" t="s">
        <v>220</v>
      </c>
      <c r="B211" s="4">
        <v>44960</v>
      </c>
      <c r="C211" s="1">
        <v>45257</v>
      </c>
      <c r="D211">
        <v>34</v>
      </c>
      <c r="E211" t="s">
        <v>912</v>
      </c>
      <c r="F211" t="s">
        <v>916</v>
      </c>
      <c r="G211" t="s">
        <v>922</v>
      </c>
      <c r="H211">
        <v>3991.36</v>
      </c>
      <c r="I211">
        <v>1</v>
      </c>
      <c r="J211">
        <v>32</v>
      </c>
      <c r="K211" t="s">
        <v>923</v>
      </c>
      <c r="L211" t="str">
        <f>IF(ISBLANK(Table1[[#This Row],[CancelDate]]),"Active","Churned")</f>
        <v>Churned</v>
      </c>
      <c r="M211">
        <f ca="1">IF(ISBLANK(Table1[[#This Row],[CancelDate]]),DATEDIF(Table1[[#This Row],[JoinDate]],TODAY(),"M"),DATEDIF(Table1[[#This Row],[JoinDate]],Table1[[#This Row],[CancelDate]],"M"))</f>
        <v>9</v>
      </c>
      <c r="N211" t="str">
        <f>IF(Table1[[#This Row],[EngagementScore]]&lt;=40,"Low",IF(Table1[[#This Row],[EngagementScore]]&lt;=70,"Medium","High"))</f>
        <v>Low</v>
      </c>
      <c r="O211" t="str">
        <f>IF(Table1[[#This Row],[Age]]&lt;25,"18-24",
IF(Table1[[#This Row],[Age]]&lt;35,"25-34",
IF(Table1[[#This Row],[Age]]&lt;45,"35-44","45+")))</f>
        <v>25-34</v>
      </c>
    </row>
    <row r="212" spans="1:15" x14ac:dyDescent="0.25">
      <c r="A212" t="s">
        <v>221</v>
      </c>
      <c r="B212" s="4">
        <v>44607</v>
      </c>
      <c r="D212">
        <v>54</v>
      </c>
      <c r="E212" t="s">
        <v>911</v>
      </c>
      <c r="F212" t="s">
        <v>918</v>
      </c>
      <c r="G212" t="s">
        <v>920</v>
      </c>
      <c r="H212">
        <v>11751.43</v>
      </c>
      <c r="I212">
        <v>6</v>
      </c>
      <c r="J212">
        <v>40</v>
      </c>
      <c r="K212" t="s">
        <v>925</v>
      </c>
      <c r="L212" t="str">
        <f>IF(ISBLANK(Table1[[#This Row],[CancelDate]]),"Active","Churned")</f>
        <v>Active</v>
      </c>
      <c r="M212">
        <f ca="1">IF(ISBLANK(Table1[[#This Row],[CancelDate]]),DATEDIF(Table1[[#This Row],[JoinDate]],TODAY(),"M"),DATEDIF(Table1[[#This Row],[JoinDate]],Table1[[#This Row],[CancelDate]],"M"))</f>
        <v>49</v>
      </c>
      <c r="N212" t="str">
        <f>IF(Table1[[#This Row],[EngagementScore]]&lt;=40,"Low",IF(Table1[[#This Row],[EngagementScore]]&lt;=70,"Medium","High"))</f>
        <v>Low</v>
      </c>
      <c r="O212" t="str">
        <f>IF(Table1[[#This Row],[Age]]&lt;25,"18-24",
IF(Table1[[#This Row],[Age]]&lt;35,"25-34",
IF(Table1[[#This Row],[Age]]&lt;45,"35-44","45+")))</f>
        <v>45+</v>
      </c>
    </row>
    <row r="213" spans="1:15" x14ac:dyDescent="0.25">
      <c r="A213" t="s">
        <v>222</v>
      </c>
      <c r="B213" s="4">
        <v>45435</v>
      </c>
      <c r="D213">
        <v>29</v>
      </c>
      <c r="E213" t="s">
        <v>912</v>
      </c>
      <c r="F213" t="s">
        <v>919</v>
      </c>
      <c r="G213" t="s">
        <v>921</v>
      </c>
      <c r="H213">
        <v>6701.58</v>
      </c>
      <c r="I213">
        <v>6</v>
      </c>
      <c r="J213">
        <v>67</v>
      </c>
      <c r="K213" t="s">
        <v>923</v>
      </c>
      <c r="L213" t="str">
        <f>IF(ISBLANK(Table1[[#This Row],[CancelDate]]),"Active","Churned")</f>
        <v>Active</v>
      </c>
      <c r="M213">
        <f ca="1">IF(ISBLANK(Table1[[#This Row],[CancelDate]]),DATEDIF(Table1[[#This Row],[JoinDate]],TODAY(),"M"),DATEDIF(Table1[[#This Row],[JoinDate]],Table1[[#This Row],[CancelDate]],"M"))</f>
        <v>22</v>
      </c>
      <c r="N213" t="str">
        <f>IF(Table1[[#This Row],[EngagementScore]]&lt;=40,"Low",IF(Table1[[#This Row],[EngagementScore]]&lt;=70,"Medium","High"))</f>
        <v>Medium</v>
      </c>
      <c r="O213" t="str">
        <f>IF(Table1[[#This Row],[Age]]&lt;25,"18-24",
IF(Table1[[#This Row],[Age]]&lt;35,"25-34",
IF(Table1[[#This Row],[Age]]&lt;45,"35-44","45+")))</f>
        <v>25-34</v>
      </c>
    </row>
    <row r="214" spans="1:15" x14ac:dyDescent="0.25">
      <c r="A214" t="s">
        <v>223</v>
      </c>
      <c r="B214" s="4">
        <v>44604</v>
      </c>
      <c r="C214" s="1">
        <v>44953</v>
      </c>
      <c r="D214">
        <v>37</v>
      </c>
      <c r="E214" t="s">
        <v>912</v>
      </c>
      <c r="F214" t="s">
        <v>916</v>
      </c>
      <c r="G214" t="s">
        <v>922</v>
      </c>
      <c r="H214">
        <v>6054.72</v>
      </c>
      <c r="I214">
        <v>2</v>
      </c>
      <c r="J214">
        <v>38</v>
      </c>
      <c r="K214" t="s">
        <v>924</v>
      </c>
      <c r="L214" t="str">
        <f>IF(ISBLANK(Table1[[#This Row],[CancelDate]]),"Active","Churned")</f>
        <v>Churned</v>
      </c>
      <c r="M214">
        <f ca="1">IF(ISBLANK(Table1[[#This Row],[CancelDate]]),DATEDIF(Table1[[#This Row],[JoinDate]],TODAY(),"M"),DATEDIF(Table1[[#This Row],[JoinDate]],Table1[[#This Row],[CancelDate]],"M"))</f>
        <v>11</v>
      </c>
      <c r="N214" t="str">
        <f>IF(Table1[[#This Row],[EngagementScore]]&lt;=40,"Low",IF(Table1[[#This Row],[EngagementScore]]&lt;=70,"Medium","High"))</f>
        <v>Low</v>
      </c>
      <c r="O214" t="str">
        <f>IF(Table1[[#This Row],[Age]]&lt;25,"18-24",
IF(Table1[[#This Row],[Age]]&lt;35,"25-34",
IF(Table1[[#This Row],[Age]]&lt;45,"35-44","45+")))</f>
        <v>35-44</v>
      </c>
    </row>
    <row r="215" spans="1:15" x14ac:dyDescent="0.25">
      <c r="A215" t="s">
        <v>224</v>
      </c>
      <c r="B215" s="4">
        <v>45426</v>
      </c>
      <c r="D215">
        <v>26</v>
      </c>
      <c r="E215" t="s">
        <v>911</v>
      </c>
      <c r="F215" t="s">
        <v>918</v>
      </c>
      <c r="G215" t="s">
        <v>921</v>
      </c>
      <c r="H215">
        <v>11824.77</v>
      </c>
      <c r="I215">
        <v>13</v>
      </c>
      <c r="J215">
        <v>41</v>
      </c>
      <c r="K215" t="s">
        <v>923</v>
      </c>
      <c r="L215" t="str">
        <f>IF(ISBLANK(Table1[[#This Row],[CancelDate]]),"Active","Churned")</f>
        <v>Active</v>
      </c>
      <c r="M215">
        <f ca="1">IF(ISBLANK(Table1[[#This Row],[CancelDate]]),DATEDIF(Table1[[#This Row],[JoinDate]],TODAY(),"M"),DATEDIF(Table1[[#This Row],[JoinDate]],Table1[[#This Row],[CancelDate]],"M"))</f>
        <v>22</v>
      </c>
      <c r="N215" t="str">
        <f>IF(Table1[[#This Row],[EngagementScore]]&lt;=40,"Low",IF(Table1[[#This Row],[EngagementScore]]&lt;=70,"Medium","High"))</f>
        <v>Medium</v>
      </c>
      <c r="O215" t="str">
        <f>IF(Table1[[#This Row],[Age]]&lt;25,"18-24",
IF(Table1[[#This Row],[Age]]&lt;35,"25-34",
IF(Table1[[#This Row],[Age]]&lt;45,"35-44","45+")))</f>
        <v>25-34</v>
      </c>
    </row>
    <row r="216" spans="1:15" x14ac:dyDescent="0.25">
      <c r="A216" t="s">
        <v>225</v>
      </c>
      <c r="B216" s="4">
        <v>44852</v>
      </c>
      <c r="D216">
        <v>52</v>
      </c>
      <c r="E216" t="s">
        <v>912</v>
      </c>
      <c r="F216" t="s">
        <v>916</v>
      </c>
      <c r="G216" t="s">
        <v>922</v>
      </c>
      <c r="H216">
        <v>13825.85</v>
      </c>
      <c r="I216">
        <v>7</v>
      </c>
      <c r="J216">
        <v>50</v>
      </c>
      <c r="K216" t="s">
        <v>925</v>
      </c>
      <c r="L216" t="str">
        <f>IF(ISBLANK(Table1[[#This Row],[CancelDate]]),"Active","Churned")</f>
        <v>Active</v>
      </c>
      <c r="M216">
        <f ca="1">IF(ISBLANK(Table1[[#This Row],[CancelDate]]),DATEDIF(Table1[[#This Row],[JoinDate]],TODAY(),"M"),DATEDIF(Table1[[#This Row],[JoinDate]],Table1[[#This Row],[CancelDate]],"M"))</f>
        <v>41</v>
      </c>
      <c r="N216" t="str">
        <f>IF(Table1[[#This Row],[EngagementScore]]&lt;=40,"Low",IF(Table1[[#This Row],[EngagementScore]]&lt;=70,"Medium","High"))</f>
        <v>Medium</v>
      </c>
      <c r="O216" t="str">
        <f>IF(Table1[[#This Row],[Age]]&lt;25,"18-24",
IF(Table1[[#This Row],[Age]]&lt;35,"25-34",
IF(Table1[[#This Row],[Age]]&lt;45,"35-44","45+")))</f>
        <v>45+</v>
      </c>
    </row>
    <row r="217" spans="1:15" x14ac:dyDescent="0.25">
      <c r="A217" t="s">
        <v>226</v>
      </c>
      <c r="B217" s="4">
        <v>44657</v>
      </c>
      <c r="D217">
        <v>33</v>
      </c>
      <c r="E217" t="s">
        <v>912</v>
      </c>
      <c r="F217" t="s">
        <v>914</v>
      </c>
      <c r="G217" t="s">
        <v>921</v>
      </c>
      <c r="H217">
        <v>16406.41</v>
      </c>
      <c r="I217">
        <v>16</v>
      </c>
      <c r="J217">
        <v>73</v>
      </c>
      <c r="K217" t="s">
        <v>925</v>
      </c>
      <c r="L217" t="str">
        <f>IF(ISBLANK(Table1[[#This Row],[CancelDate]]),"Active","Churned")</f>
        <v>Active</v>
      </c>
      <c r="M217">
        <f ca="1">IF(ISBLANK(Table1[[#This Row],[CancelDate]]),DATEDIF(Table1[[#This Row],[JoinDate]],TODAY(),"M"),DATEDIF(Table1[[#This Row],[JoinDate]],Table1[[#This Row],[CancelDate]],"M"))</f>
        <v>47</v>
      </c>
      <c r="N217" t="str">
        <f>IF(Table1[[#This Row],[EngagementScore]]&lt;=40,"Low",IF(Table1[[#This Row],[EngagementScore]]&lt;=70,"Medium","High"))</f>
        <v>High</v>
      </c>
      <c r="O217" t="str">
        <f>IF(Table1[[#This Row],[Age]]&lt;25,"18-24",
IF(Table1[[#This Row],[Age]]&lt;35,"25-34",
IF(Table1[[#This Row],[Age]]&lt;45,"35-44","45+")))</f>
        <v>25-34</v>
      </c>
    </row>
    <row r="218" spans="1:15" x14ac:dyDescent="0.25">
      <c r="A218" t="s">
        <v>227</v>
      </c>
      <c r="B218" s="4">
        <v>45442</v>
      </c>
      <c r="D218">
        <v>58</v>
      </c>
      <c r="E218" t="s">
        <v>911</v>
      </c>
      <c r="F218" t="s">
        <v>916</v>
      </c>
      <c r="G218" t="s">
        <v>921</v>
      </c>
      <c r="H218">
        <v>3497.97</v>
      </c>
      <c r="I218">
        <v>1</v>
      </c>
      <c r="J218">
        <v>15</v>
      </c>
      <c r="K218" t="s">
        <v>924</v>
      </c>
      <c r="L218" t="str">
        <f>IF(ISBLANK(Table1[[#This Row],[CancelDate]]),"Active","Churned")</f>
        <v>Active</v>
      </c>
      <c r="M218">
        <f ca="1">IF(ISBLANK(Table1[[#This Row],[CancelDate]]),DATEDIF(Table1[[#This Row],[JoinDate]],TODAY(),"M"),DATEDIF(Table1[[#This Row],[JoinDate]],Table1[[#This Row],[CancelDate]],"M"))</f>
        <v>22</v>
      </c>
      <c r="N218" t="str">
        <f>IF(Table1[[#This Row],[EngagementScore]]&lt;=40,"Low",IF(Table1[[#This Row],[EngagementScore]]&lt;=70,"Medium","High"))</f>
        <v>Low</v>
      </c>
      <c r="O218" t="str">
        <f>IF(Table1[[#This Row],[Age]]&lt;25,"18-24",
IF(Table1[[#This Row],[Age]]&lt;35,"25-34",
IF(Table1[[#This Row],[Age]]&lt;45,"35-44","45+")))</f>
        <v>45+</v>
      </c>
    </row>
    <row r="219" spans="1:15" x14ac:dyDescent="0.25">
      <c r="A219" t="s">
        <v>228</v>
      </c>
      <c r="B219" s="4">
        <v>44745</v>
      </c>
      <c r="D219">
        <v>44</v>
      </c>
      <c r="E219" t="s">
        <v>912</v>
      </c>
      <c r="F219" t="s">
        <v>915</v>
      </c>
      <c r="G219" t="s">
        <v>921</v>
      </c>
      <c r="H219">
        <v>5326.02</v>
      </c>
      <c r="I219">
        <v>1</v>
      </c>
      <c r="J219">
        <v>35</v>
      </c>
      <c r="K219" t="s">
        <v>913</v>
      </c>
      <c r="L219" t="str">
        <f>IF(ISBLANK(Table1[[#This Row],[CancelDate]]),"Active","Churned")</f>
        <v>Active</v>
      </c>
      <c r="M219">
        <f ca="1">IF(ISBLANK(Table1[[#This Row],[CancelDate]]),DATEDIF(Table1[[#This Row],[JoinDate]],TODAY(),"M"),DATEDIF(Table1[[#This Row],[JoinDate]],Table1[[#This Row],[CancelDate]],"M"))</f>
        <v>44</v>
      </c>
      <c r="N219" t="str">
        <f>IF(Table1[[#This Row],[EngagementScore]]&lt;=40,"Low",IF(Table1[[#This Row],[EngagementScore]]&lt;=70,"Medium","High"))</f>
        <v>Low</v>
      </c>
      <c r="O219" t="str">
        <f>IF(Table1[[#This Row],[Age]]&lt;25,"18-24",
IF(Table1[[#This Row],[Age]]&lt;35,"25-34",
IF(Table1[[#This Row],[Age]]&lt;45,"35-44","45+")))</f>
        <v>35-44</v>
      </c>
    </row>
    <row r="220" spans="1:15" x14ac:dyDescent="0.25">
      <c r="A220" t="s">
        <v>229</v>
      </c>
      <c r="B220" s="4">
        <v>44792</v>
      </c>
      <c r="D220">
        <v>21</v>
      </c>
      <c r="E220" t="s">
        <v>911</v>
      </c>
      <c r="F220" t="s">
        <v>917</v>
      </c>
      <c r="G220" t="s">
        <v>922</v>
      </c>
      <c r="H220">
        <v>29028.09</v>
      </c>
      <c r="I220">
        <v>29</v>
      </c>
      <c r="J220">
        <v>89</v>
      </c>
      <c r="K220" t="s">
        <v>923</v>
      </c>
      <c r="L220" t="str">
        <f>IF(ISBLANK(Table1[[#This Row],[CancelDate]]),"Active","Churned")</f>
        <v>Active</v>
      </c>
      <c r="M220">
        <f ca="1">IF(ISBLANK(Table1[[#This Row],[CancelDate]]),DATEDIF(Table1[[#This Row],[JoinDate]],TODAY(),"M"),DATEDIF(Table1[[#This Row],[JoinDate]],Table1[[#This Row],[CancelDate]],"M"))</f>
        <v>43</v>
      </c>
      <c r="N220" t="str">
        <f>IF(Table1[[#This Row],[EngagementScore]]&lt;=40,"Low",IF(Table1[[#This Row],[EngagementScore]]&lt;=70,"Medium","High"))</f>
        <v>High</v>
      </c>
      <c r="O220" t="str">
        <f>IF(Table1[[#This Row],[Age]]&lt;25,"18-24",
IF(Table1[[#This Row],[Age]]&lt;35,"25-34",
IF(Table1[[#This Row],[Age]]&lt;45,"35-44","45+")))</f>
        <v>18-24</v>
      </c>
    </row>
    <row r="221" spans="1:15" x14ac:dyDescent="0.25">
      <c r="A221" t="s">
        <v>230</v>
      </c>
      <c r="B221" s="4">
        <v>44827</v>
      </c>
      <c r="D221">
        <v>43</v>
      </c>
      <c r="E221" t="s">
        <v>912</v>
      </c>
      <c r="F221" t="s">
        <v>918</v>
      </c>
      <c r="G221" t="s">
        <v>921</v>
      </c>
      <c r="H221">
        <v>26770.14</v>
      </c>
      <c r="I221">
        <v>25</v>
      </c>
      <c r="J221">
        <v>95</v>
      </c>
      <c r="K221" t="s">
        <v>925</v>
      </c>
      <c r="L221" t="str">
        <f>IF(ISBLANK(Table1[[#This Row],[CancelDate]]),"Active","Churned")</f>
        <v>Active</v>
      </c>
      <c r="M221">
        <f ca="1">IF(ISBLANK(Table1[[#This Row],[CancelDate]]),DATEDIF(Table1[[#This Row],[JoinDate]],TODAY(),"M"),DATEDIF(Table1[[#This Row],[JoinDate]],Table1[[#This Row],[CancelDate]],"M"))</f>
        <v>42</v>
      </c>
      <c r="N221" t="str">
        <f>IF(Table1[[#This Row],[EngagementScore]]&lt;=40,"Low",IF(Table1[[#This Row],[EngagementScore]]&lt;=70,"Medium","High"))</f>
        <v>High</v>
      </c>
      <c r="O221" t="str">
        <f>IF(Table1[[#This Row],[Age]]&lt;25,"18-24",
IF(Table1[[#This Row],[Age]]&lt;35,"25-34",
IF(Table1[[#This Row],[Age]]&lt;45,"35-44","45+")))</f>
        <v>35-44</v>
      </c>
    </row>
    <row r="222" spans="1:15" x14ac:dyDescent="0.25">
      <c r="A222" t="s">
        <v>231</v>
      </c>
      <c r="B222" s="4">
        <v>44831</v>
      </c>
      <c r="D222">
        <v>46</v>
      </c>
      <c r="E222" t="s">
        <v>912</v>
      </c>
      <c r="F222" t="s">
        <v>919</v>
      </c>
      <c r="G222" t="s">
        <v>921</v>
      </c>
      <c r="H222">
        <v>11332.3</v>
      </c>
      <c r="I222">
        <v>8</v>
      </c>
      <c r="J222">
        <v>49</v>
      </c>
      <c r="K222" t="s">
        <v>923</v>
      </c>
      <c r="L222" t="str">
        <f>IF(ISBLANK(Table1[[#This Row],[CancelDate]]),"Active","Churned")</f>
        <v>Active</v>
      </c>
      <c r="M222">
        <f ca="1">IF(ISBLANK(Table1[[#This Row],[CancelDate]]),DATEDIF(Table1[[#This Row],[JoinDate]],TODAY(),"M"),DATEDIF(Table1[[#This Row],[JoinDate]],Table1[[#This Row],[CancelDate]],"M"))</f>
        <v>42</v>
      </c>
      <c r="N222" t="str">
        <f>IF(Table1[[#This Row],[EngagementScore]]&lt;=40,"Low",IF(Table1[[#This Row],[EngagementScore]]&lt;=70,"Medium","High"))</f>
        <v>Medium</v>
      </c>
      <c r="O222" t="str">
        <f>IF(Table1[[#This Row],[Age]]&lt;25,"18-24",
IF(Table1[[#This Row],[Age]]&lt;35,"25-34",
IF(Table1[[#This Row],[Age]]&lt;45,"35-44","45+")))</f>
        <v>45+</v>
      </c>
    </row>
    <row r="223" spans="1:15" x14ac:dyDescent="0.25">
      <c r="A223" t="s">
        <v>232</v>
      </c>
      <c r="B223" s="4">
        <v>44903</v>
      </c>
      <c r="C223" s="1">
        <v>45034</v>
      </c>
      <c r="D223">
        <v>20</v>
      </c>
      <c r="E223" t="s">
        <v>912</v>
      </c>
      <c r="F223" t="s">
        <v>917</v>
      </c>
      <c r="G223" t="s">
        <v>922</v>
      </c>
      <c r="H223">
        <v>29086.21</v>
      </c>
      <c r="I223">
        <v>25</v>
      </c>
      <c r="J223">
        <v>72</v>
      </c>
      <c r="K223" t="s">
        <v>924</v>
      </c>
      <c r="L223" t="str">
        <f>IF(ISBLANK(Table1[[#This Row],[CancelDate]]),"Active","Churned")</f>
        <v>Churned</v>
      </c>
      <c r="M223">
        <f ca="1">IF(ISBLANK(Table1[[#This Row],[CancelDate]]),DATEDIF(Table1[[#This Row],[JoinDate]],TODAY(),"M"),DATEDIF(Table1[[#This Row],[JoinDate]],Table1[[#This Row],[CancelDate]],"M"))</f>
        <v>4</v>
      </c>
      <c r="N223" t="str">
        <f>IF(Table1[[#This Row],[EngagementScore]]&lt;=40,"Low",IF(Table1[[#This Row],[EngagementScore]]&lt;=70,"Medium","High"))</f>
        <v>High</v>
      </c>
      <c r="O223" t="str">
        <f>IF(Table1[[#This Row],[Age]]&lt;25,"18-24",
IF(Table1[[#This Row],[Age]]&lt;35,"25-34",
IF(Table1[[#This Row],[Age]]&lt;45,"35-44","45+")))</f>
        <v>18-24</v>
      </c>
    </row>
    <row r="224" spans="1:15" x14ac:dyDescent="0.25">
      <c r="A224" t="s">
        <v>233</v>
      </c>
      <c r="B224" s="4">
        <v>44563</v>
      </c>
      <c r="D224">
        <v>51</v>
      </c>
      <c r="E224" t="s">
        <v>912</v>
      </c>
      <c r="F224" t="s">
        <v>915</v>
      </c>
      <c r="G224" t="s">
        <v>921</v>
      </c>
      <c r="H224">
        <v>28171.4</v>
      </c>
      <c r="I224">
        <v>25</v>
      </c>
      <c r="J224">
        <v>73</v>
      </c>
      <c r="K224" t="s">
        <v>923</v>
      </c>
      <c r="L224" t="str">
        <f>IF(ISBLANK(Table1[[#This Row],[CancelDate]]),"Active","Churned")</f>
        <v>Active</v>
      </c>
      <c r="M224">
        <f ca="1">IF(ISBLANK(Table1[[#This Row],[CancelDate]]),DATEDIF(Table1[[#This Row],[JoinDate]],TODAY(),"M"),DATEDIF(Table1[[#This Row],[JoinDate]],Table1[[#This Row],[CancelDate]],"M"))</f>
        <v>51</v>
      </c>
      <c r="N224" t="str">
        <f>IF(Table1[[#This Row],[EngagementScore]]&lt;=40,"Low",IF(Table1[[#This Row],[EngagementScore]]&lt;=70,"Medium","High"))</f>
        <v>High</v>
      </c>
      <c r="O224" t="str">
        <f>IF(Table1[[#This Row],[Age]]&lt;25,"18-24",
IF(Table1[[#This Row],[Age]]&lt;35,"25-34",
IF(Table1[[#This Row],[Age]]&lt;45,"35-44","45+")))</f>
        <v>45+</v>
      </c>
    </row>
    <row r="225" spans="1:15" x14ac:dyDescent="0.25">
      <c r="A225" t="s">
        <v>234</v>
      </c>
      <c r="B225" s="4">
        <v>44849</v>
      </c>
      <c r="D225">
        <v>59</v>
      </c>
      <c r="E225" t="s">
        <v>912</v>
      </c>
      <c r="F225" t="s">
        <v>918</v>
      </c>
      <c r="G225" t="s">
        <v>921</v>
      </c>
      <c r="H225">
        <v>9658.39</v>
      </c>
      <c r="I225">
        <v>8</v>
      </c>
      <c r="J225">
        <v>51</v>
      </c>
      <c r="K225" t="s">
        <v>913</v>
      </c>
      <c r="L225" t="str">
        <f>IF(ISBLANK(Table1[[#This Row],[CancelDate]]),"Active","Churned")</f>
        <v>Active</v>
      </c>
      <c r="M225">
        <f ca="1">IF(ISBLANK(Table1[[#This Row],[CancelDate]]),DATEDIF(Table1[[#This Row],[JoinDate]],TODAY(),"M"),DATEDIF(Table1[[#This Row],[JoinDate]],Table1[[#This Row],[CancelDate]],"M"))</f>
        <v>41</v>
      </c>
      <c r="N225" t="str">
        <f>IF(Table1[[#This Row],[EngagementScore]]&lt;=40,"Low",IF(Table1[[#This Row],[EngagementScore]]&lt;=70,"Medium","High"))</f>
        <v>Medium</v>
      </c>
      <c r="O225" t="str">
        <f>IF(Table1[[#This Row],[Age]]&lt;25,"18-24",
IF(Table1[[#This Row],[Age]]&lt;35,"25-34",
IF(Table1[[#This Row],[Age]]&lt;45,"35-44","45+")))</f>
        <v>45+</v>
      </c>
    </row>
    <row r="226" spans="1:15" x14ac:dyDescent="0.25">
      <c r="A226" t="s">
        <v>235</v>
      </c>
      <c r="B226" s="4">
        <v>44770</v>
      </c>
      <c r="C226" s="1">
        <v>44989</v>
      </c>
      <c r="D226">
        <v>48</v>
      </c>
      <c r="E226" t="s">
        <v>912</v>
      </c>
      <c r="F226" t="s">
        <v>919</v>
      </c>
      <c r="G226" t="s">
        <v>922</v>
      </c>
      <c r="H226">
        <v>5068.32</v>
      </c>
      <c r="I226">
        <v>9</v>
      </c>
      <c r="J226">
        <v>58</v>
      </c>
      <c r="K226" t="s">
        <v>923</v>
      </c>
      <c r="L226" t="str">
        <f>IF(ISBLANK(Table1[[#This Row],[CancelDate]]),"Active","Churned")</f>
        <v>Churned</v>
      </c>
      <c r="M226">
        <f ca="1">IF(ISBLANK(Table1[[#This Row],[CancelDate]]),DATEDIF(Table1[[#This Row],[JoinDate]],TODAY(),"M"),DATEDIF(Table1[[#This Row],[JoinDate]],Table1[[#This Row],[CancelDate]],"M"))</f>
        <v>7</v>
      </c>
      <c r="N226" t="str">
        <f>IF(Table1[[#This Row],[EngagementScore]]&lt;=40,"Low",IF(Table1[[#This Row],[EngagementScore]]&lt;=70,"Medium","High"))</f>
        <v>Medium</v>
      </c>
      <c r="O226" t="str">
        <f>IF(Table1[[#This Row],[Age]]&lt;25,"18-24",
IF(Table1[[#This Row],[Age]]&lt;35,"25-34",
IF(Table1[[#This Row],[Age]]&lt;45,"35-44","45+")))</f>
        <v>45+</v>
      </c>
    </row>
    <row r="227" spans="1:15" x14ac:dyDescent="0.25">
      <c r="A227" t="s">
        <v>236</v>
      </c>
      <c r="B227" s="4">
        <v>45122</v>
      </c>
      <c r="D227">
        <v>40</v>
      </c>
      <c r="E227" t="s">
        <v>912</v>
      </c>
      <c r="F227" t="s">
        <v>914</v>
      </c>
      <c r="G227" t="s">
        <v>921</v>
      </c>
      <c r="H227">
        <v>5571.78</v>
      </c>
      <c r="I227">
        <v>1</v>
      </c>
      <c r="J227">
        <v>20</v>
      </c>
      <c r="K227" t="s">
        <v>925</v>
      </c>
      <c r="L227" t="str">
        <f>IF(ISBLANK(Table1[[#This Row],[CancelDate]]),"Active","Churned")</f>
        <v>Active</v>
      </c>
      <c r="M227">
        <f ca="1">IF(ISBLANK(Table1[[#This Row],[CancelDate]]),DATEDIF(Table1[[#This Row],[JoinDate]],TODAY(),"M"),DATEDIF(Table1[[#This Row],[JoinDate]],Table1[[#This Row],[CancelDate]],"M"))</f>
        <v>32</v>
      </c>
      <c r="N227" t="str">
        <f>IF(Table1[[#This Row],[EngagementScore]]&lt;=40,"Low",IF(Table1[[#This Row],[EngagementScore]]&lt;=70,"Medium","High"))</f>
        <v>Low</v>
      </c>
      <c r="O227" t="str">
        <f>IF(Table1[[#This Row],[Age]]&lt;25,"18-24",
IF(Table1[[#This Row],[Age]]&lt;35,"25-34",
IF(Table1[[#This Row],[Age]]&lt;45,"35-44","45+")))</f>
        <v>35-44</v>
      </c>
    </row>
    <row r="228" spans="1:15" x14ac:dyDescent="0.25">
      <c r="A228" t="s">
        <v>237</v>
      </c>
      <c r="B228" s="4">
        <v>45227</v>
      </c>
      <c r="D228">
        <v>43</v>
      </c>
      <c r="E228" t="s">
        <v>912</v>
      </c>
      <c r="F228" t="s">
        <v>918</v>
      </c>
      <c r="G228" t="s">
        <v>922</v>
      </c>
      <c r="H228">
        <v>14304.67</v>
      </c>
      <c r="I228">
        <v>11</v>
      </c>
      <c r="J228">
        <v>45</v>
      </c>
      <c r="K228" t="s">
        <v>925</v>
      </c>
      <c r="L228" t="str">
        <f>IF(ISBLANK(Table1[[#This Row],[CancelDate]]),"Active","Churned")</f>
        <v>Active</v>
      </c>
      <c r="M228">
        <f ca="1">IF(ISBLANK(Table1[[#This Row],[CancelDate]]),DATEDIF(Table1[[#This Row],[JoinDate]],TODAY(),"M"),DATEDIF(Table1[[#This Row],[JoinDate]],Table1[[#This Row],[CancelDate]],"M"))</f>
        <v>29</v>
      </c>
      <c r="N228" t="str">
        <f>IF(Table1[[#This Row],[EngagementScore]]&lt;=40,"Low",IF(Table1[[#This Row],[EngagementScore]]&lt;=70,"Medium","High"))</f>
        <v>Medium</v>
      </c>
      <c r="O228" t="str">
        <f>IF(Table1[[#This Row],[Age]]&lt;25,"18-24",
IF(Table1[[#This Row],[Age]]&lt;35,"25-34",
IF(Table1[[#This Row],[Age]]&lt;45,"35-44","45+")))</f>
        <v>35-44</v>
      </c>
    </row>
    <row r="229" spans="1:15" x14ac:dyDescent="0.25">
      <c r="A229" t="s">
        <v>238</v>
      </c>
      <c r="B229" s="4">
        <v>45059</v>
      </c>
      <c r="D229">
        <v>59</v>
      </c>
      <c r="E229" t="s">
        <v>913</v>
      </c>
      <c r="F229" t="s">
        <v>914</v>
      </c>
      <c r="G229" t="s">
        <v>922</v>
      </c>
      <c r="H229">
        <v>17605.38</v>
      </c>
      <c r="I229">
        <v>24</v>
      </c>
      <c r="J229">
        <v>72</v>
      </c>
      <c r="K229" t="s">
        <v>913</v>
      </c>
      <c r="L229" t="str">
        <f>IF(ISBLANK(Table1[[#This Row],[CancelDate]]),"Active","Churned")</f>
        <v>Active</v>
      </c>
      <c r="M229">
        <f ca="1">IF(ISBLANK(Table1[[#This Row],[CancelDate]]),DATEDIF(Table1[[#This Row],[JoinDate]],TODAY(),"M"),DATEDIF(Table1[[#This Row],[JoinDate]],Table1[[#This Row],[CancelDate]],"M"))</f>
        <v>34</v>
      </c>
      <c r="N229" t="str">
        <f>IF(Table1[[#This Row],[EngagementScore]]&lt;=40,"Low",IF(Table1[[#This Row],[EngagementScore]]&lt;=70,"Medium","High"))</f>
        <v>High</v>
      </c>
      <c r="O229" t="str">
        <f>IF(Table1[[#This Row],[Age]]&lt;25,"18-24",
IF(Table1[[#This Row],[Age]]&lt;35,"25-34",
IF(Table1[[#This Row],[Age]]&lt;45,"35-44","45+")))</f>
        <v>45+</v>
      </c>
    </row>
    <row r="230" spans="1:15" x14ac:dyDescent="0.25">
      <c r="A230" t="s">
        <v>239</v>
      </c>
      <c r="B230" s="4">
        <v>44723</v>
      </c>
      <c r="D230">
        <v>40</v>
      </c>
      <c r="E230" t="s">
        <v>911</v>
      </c>
      <c r="F230" t="s">
        <v>915</v>
      </c>
      <c r="G230" t="s">
        <v>921</v>
      </c>
      <c r="H230">
        <v>11394.68</v>
      </c>
      <c r="I230">
        <v>5</v>
      </c>
      <c r="J230">
        <v>45</v>
      </c>
      <c r="K230" t="s">
        <v>913</v>
      </c>
      <c r="L230" t="str">
        <f>IF(ISBLANK(Table1[[#This Row],[CancelDate]]),"Active","Churned")</f>
        <v>Active</v>
      </c>
      <c r="M230">
        <f ca="1">IF(ISBLANK(Table1[[#This Row],[CancelDate]]),DATEDIF(Table1[[#This Row],[JoinDate]],TODAY(),"M"),DATEDIF(Table1[[#This Row],[JoinDate]],Table1[[#This Row],[CancelDate]],"M"))</f>
        <v>45</v>
      </c>
      <c r="N230" t="str">
        <f>IF(Table1[[#This Row],[EngagementScore]]&lt;=40,"Low",IF(Table1[[#This Row],[EngagementScore]]&lt;=70,"Medium","High"))</f>
        <v>Medium</v>
      </c>
      <c r="O230" t="str">
        <f>IF(Table1[[#This Row],[Age]]&lt;25,"18-24",
IF(Table1[[#This Row],[Age]]&lt;35,"25-34",
IF(Table1[[#This Row],[Age]]&lt;45,"35-44","45+")))</f>
        <v>35-44</v>
      </c>
    </row>
    <row r="231" spans="1:15" x14ac:dyDescent="0.25">
      <c r="A231" t="s">
        <v>240</v>
      </c>
      <c r="B231" s="4">
        <v>44817</v>
      </c>
      <c r="C231" s="1">
        <v>44967</v>
      </c>
      <c r="D231">
        <v>25</v>
      </c>
      <c r="E231" t="s">
        <v>911</v>
      </c>
      <c r="F231" t="s">
        <v>914</v>
      </c>
      <c r="G231" t="s">
        <v>921</v>
      </c>
      <c r="H231">
        <v>7149.05</v>
      </c>
      <c r="I231">
        <v>5</v>
      </c>
      <c r="J231">
        <v>10</v>
      </c>
      <c r="K231" t="s">
        <v>924</v>
      </c>
      <c r="L231" t="str">
        <f>IF(ISBLANK(Table1[[#This Row],[CancelDate]]),"Active","Churned")</f>
        <v>Churned</v>
      </c>
      <c r="M231">
        <f ca="1">IF(ISBLANK(Table1[[#This Row],[CancelDate]]),DATEDIF(Table1[[#This Row],[JoinDate]],TODAY(),"M"),DATEDIF(Table1[[#This Row],[JoinDate]],Table1[[#This Row],[CancelDate]],"M"))</f>
        <v>4</v>
      </c>
      <c r="N231" t="str">
        <f>IF(Table1[[#This Row],[EngagementScore]]&lt;=40,"Low",IF(Table1[[#This Row],[EngagementScore]]&lt;=70,"Medium","High"))</f>
        <v>Low</v>
      </c>
      <c r="O231" t="str">
        <f>IF(Table1[[#This Row],[Age]]&lt;25,"18-24",
IF(Table1[[#This Row],[Age]]&lt;35,"25-34",
IF(Table1[[#This Row],[Age]]&lt;45,"35-44","45+")))</f>
        <v>25-34</v>
      </c>
    </row>
    <row r="232" spans="1:15" x14ac:dyDescent="0.25">
      <c r="A232" t="s">
        <v>241</v>
      </c>
      <c r="B232" s="4">
        <v>44900</v>
      </c>
      <c r="C232" s="1">
        <v>45061</v>
      </c>
      <c r="D232">
        <v>42</v>
      </c>
      <c r="E232" t="s">
        <v>911</v>
      </c>
      <c r="F232" t="s">
        <v>917</v>
      </c>
      <c r="G232" t="s">
        <v>922</v>
      </c>
      <c r="H232">
        <v>3168.36</v>
      </c>
      <c r="I232">
        <v>4</v>
      </c>
      <c r="J232">
        <v>24</v>
      </c>
      <c r="K232" t="s">
        <v>925</v>
      </c>
      <c r="L232" t="str">
        <f>IF(ISBLANK(Table1[[#This Row],[CancelDate]]),"Active","Churned")</f>
        <v>Churned</v>
      </c>
      <c r="M232">
        <f ca="1">IF(ISBLANK(Table1[[#This Row],[CancelDate]]),DATEDIF(Table1[[#This Row],[JoinDate]],TODAY(),"M"),DATEDIF(Table1[[#This Row],[JoinDate]],Table1[[#This Row],[CancelDate]],"M"))</f>
        <v>5</v>
      </c>
      <c r="N232" t="str">
        <f>IF(Table1[[#This Row],[EngagementScore]]&lt;=40,"Low",IF(Table1[[#This Row],[EngagementScore]]&lt;=70,"Medium","High"))</f>
        <v>Low</v>
      </c>
      <c r="O232" t="str">
        <f>IF(Table1[[#This Row],[Age]]&lt;25,"18-24",
IF(Table1[[#This Row],[Age]]&lt;35,"25-34",
IF(Table1[[#This Row],[Age]]&lt;45,"35-44","45+")))</f>
        <v>35-44</v>
      </c>
    </row>
    <row r="233" spans="1:15" x14ac:dyDescent="0.25">
      <c r="A233" t="s">
        <v>242</v>
      </c>
      <c r="B233" s="4">
        <v>45138</v>
      </c>
      <c r="C233" s="1">
        <v>45391</v>
      </c>
      <c r="D233">
        <v>49</v>
      </c>
      <c r="E233" t="s">
        <v>912</v>
      </c>
      <c r="F233" t="s">
        <v>918</v>
      </c>
      <c r="G233" t="s">
        <v>921</v>
      </c>
      <c r="H233">
        <v>15019.68</v>
      </c>
      <c r="I233">
        <v>23</v>
      </c>
      <c r="J233">
        <v>99</v>
      </c>
      <c r="K233" t="s">
        <v>925</v>
      </c>
      <c r="L233" t="str">
        <f>IF(ISBLANK(Table1[[#This Row],[CancelDate]]),"Active","Churned")</f>
        <v>Churned</v>
      </c>
      <c r="M233">
        <f ca="1">IF(ISBLANK(Table1[[#This Row],[CancelDate]]),DATEDIF(Table1[[#This Row],[JoinDate]],TODAY(),"M"),DATEDIF(Table1[[#This Row],[JoinDate]],Table1[[#This Row],[CancelDate]],"M"))</f>
        <v>8</v>
      </c>
      <c r="N233" t="str">
        <f>IF(Table1[[#This Row],[EngagementScore]]&lt;=40,"Low",IF(Table1[[#This Row],[EngagementScore]]&lt;=70,"Medium","High"))</f>
        <v>High</v>
      </c>
      <c r="O233" t="str">
        <f>IF(Table1[[#This Row],[Age]]&lt;25,"18-24",
IF(Table1[[#This Row],[Age]]&lt;35,"25-34",
IF(Table1[[#This Row],[Age]]&lt;45,"35-44","45+")))</f>
        <v>45+</v>
      </c>
    </row>
    <row r="234" spans="1:15" x14ac:dyDescent="0.25">
      <c r="A234" t="s">
        <v>243</v>
      </c>
      <c r="B234" s="4">
        <v>45023</v>
      </c>
      <c r="D234">
        <v>28</v>
      </c>
      <c r="E234" t="s">
        <v>911</v>
      </c>
      <c r="F234" t="s">
        <v>914</v>
      </c>
      <c r="G234" t="s">
        <v>921</v>
      </c>
      <c r="H234">
        <v>2494.4699999999998</v>
      </c>
      <c r="I234">
        <v>7</v>
      </c>
      <c r="J234">
        <v>12</v>
      </c>
      <c r="K234" t="s">
        <v>923</v>
      </c>
      <c r="L234" t="str">
        <f>IF(ISBLANK(Table1[[#This Row],[CancelDate]]),"Active","Churned")</f>
        <v>Active</v>
      </c>
      <c r="M234">
        <f ca="1">IF(ISBLANK(Table1[[#This Row],[CancelDate]]),DATEDIF(Table1[[#This Row],[JoinDate]],TODAY(),"M"),DATEDIF(Table1[[#This Row],[JoinDate]],Table1[[#This Row],[CancelDate]],"M"))</f>
        <v>35</v>
      </c>
      <c r="N234" t="str">
        <f>IF(Table1[[#This Row],[EngagementScore]]&lt;=40,"Low",IF(Table1[[#This Row],[EngagementScore]]&lt;=70,"Medium","High"))</f>
        <v>Low</v>
      </c>
      <c r="O234" t="str">
        <f>IF(Table1[[#This Row],[Age]]&lt;25,"18-24",
IF(Table1[[#This Row],[Age]]&lt;35,"25-34",
IF(Table1[[#This Row],[Age]]&lt;45,"35-44","45+")))</f>
        <v>25-34</v>
      </c>
    </row>
    <row r="235" spans="1:15" x14ac:dyDescent="0.25">
      <c r="A235" t="s">
        <v>244</v>
      </c>
      <c r="B235" s="4">
        <v>45388</v>
      </c>
      <c r="D235">
        <v>33</v>
      </c>
      <c r="E235" t="s">
        <v>911</v>
      </c>
      <c r="F235" t="s">
        <v>919</v>
      </c>
      <c r="G235" t="s">
        <v>921</v>
      </c>
      <c r="H235">
        <v>14072.28</v>
      </c>
      <c r="I235">
        <v>9</v>
      </c>
      <c r="J235">
        <v>61</v>
      </c>
      <c r="K235" t="s">
        <v>925</v>
      </c>
      <c r="L235" t="str">
        <f>IF(ISBLANK(Table1[[#This Row],[CancelDate]]),"Active","Churned")</f>
        <v>Active</v>
      </c>
      <c r="M235">
        <f ca="1">IF(ISBLANK(Table1[[#This Row],[CancelDate]]),DATEDIF(Table1[[#This Row],[JoinDate]],TODAY(),"M"),DATEDIF(Table1[[#This Row],[JoinDate]],Table1[[#This Row],[CancelDate]],"M"))</f>
        <v>23</v>
      </c>
      <c r="N235" t="str">
        <f>IF(Table1[[#This Row],[EngagementScore]]&lt;=40,"Low",IF(Table1[[#This Row],[EngagementScore]]&lt;=70,"Medium","High"))</f>
        <v>Medium</v>
      </c>
      <c r="O235" t="str">
        <f>IF(Table1[[#This Row],[Age]]&lt;25,"18-24",
IF(Table1[[#This Row],[Age]]&lt;35,"25-34",
IF(Table1[[#This Row],[Age]]&lt;45,"35-44","45+")))</f>
        <v>25-34</v>
      </c>
    </row>
    <row r="236" spans="1:15" x14ac:dyDescent="0.25">
      <c r="A236" t="s">
        <v>245</v>
      </c>
      <c r="B236" s="4">
        <v>44828</v>
      </c>
      <c r="C236" s="1">
        <v>45183</v>
      </c>
      <c r="D236">
        <v>49</v>
      </c>
      <c r="E236" t="s">
        <v>912</v>
      </c>
      <c r="F236" t="s">
        <v>918</v>
      </c>
      <c r="G236" t="s">
        <v>921</v>
      </c>
      <c r="H236">
        <v>14615.46</v>
      </c>
      <c r="I236">
        <v>5</v>
      </c>
      <c r="J236">
        <v>69</v>
      </c>
      <c r="K236" t="s">
        <v>924</v>
      </c>
      <c r="L236" t="str">
        <f>IF(ISBLANK(Table1[[#This Row],[CancelDate]]),"Active","Churned")</f>
        <v>Churned</v>
      </c>
      <c r="M236">
        <f ca="1">IF(ISBLANK(Table1[[#This Row],[CancelDate]]),DATEDIF(Table1[[#This Row],[JoinDate]],TODAY(),"M"),DATEDIF(Table1[[#This Row],[JoinDate]],Table1[[#This Row],[CancelDate]],"M"))</f>
        <v>11</v>
      </c>
      <c r="N236" t="str">
        <f>IF(Table1[[#This Row],[EngagementScore]]&lt;=40,"Low",IF(Table1[[#This Row],[EngagementScore]]&lt;=70,"Medium","High"))</f>
        <v>Medium</v>
      </c>
      <c r="O236" t="str">
        <f>IF(Table1[[#This Row],[Age]]&lt;25,"18-24",
IF(Table1[[#This Row],[Age]]&lt;35,"25-34",
IF(Table1[[#This Row],[Age]]&lt;45,"35-44","45+")))</f>
        <v>45+</v>
      </c>
    </row>
    <row r="237" spans="1:15" x14ac:dyDescent="0.25">
      <c r="A237" t="s">
        <v>246</v>
      </c>
      <c r="B237" s="4">
        <v>44998</v>
      </c>
      <c r="D237">
        <v>43</v>
      </c>
      <c r="E237" t="s">
        <v>912</v>
      </c>
      <c r="F237" t="s">
        <v>915</v>
      </c>
      <c r="G237" t="s">
        <v>922</v>
      </c>
      <c r="H237">
        <v>7282.13</v>
      </c>
      <c r="I237">
        <v>7</v>
      </c>
      <c r="J237">
        <v>14</v>
      </c>
      <c r="K237" t="s">
        <v>923</v>
      </c>
      <c r="L237" t="str">
        <f>IF(ISBLANK(Table1[[#This Row],[CancelDate]]),"Active","Churned")</f>
        <v>Active</v>
      </c>
      <c r="M237">
        <f ca="1">IF(ISBLANK(Table1[[#This Row],[CancelDate]]),DATEDIF(Table1[[#This Row],[JoinDate]],TODAY(),"M"),DATEDIF(Table1[[#This Row],[JoinDate]],Table1[[#This Row],[CancelDate]],"M"))</f>
        <v>36</v>
      </c>
      <c r="N237" t="str">
        <f>IF(Table1[[#This Row],[EngagementScore]]&lt;=40,"Low",IF(Table1[[#This Row],[EngagementScore]]&lt;=70,"Medium","High"))</f>
        <v>Low</v>
      </c>
      <c r="O237" t="str">
        <f>IF(Table1[[#This Row],[Age]]&lt;25,"18-24",
IF(Table1[[#This Row],[Age]]&lt;35,"25-34",
IF(Table1[[#This Row],[Age]]&lt;45,"35-44","45+")))</f>
        <v>35-44</v>
      </c>
    </row>
    <row r="238" spans="1:15" x14ac:dyDescent="0.25">
      <c r="A238" t="s">
        <v>247</v>
      </c>
      <c r="B238" s="4">
        <v>45068</v>
      </c>
      <c r="D238">
        <v>40</v>
      </c>
      <c r="E238" t="s">
        <v>911</v>
      </c>
      <c r="F238" t="s">
        <v>917</v>
      </c>
      <c r="G238" t="s">
        <v>921</v>
      </c>
      <c r="H238">
        <v>11459.37</v>
      </c>
      <c r="I238">
        <v>13</v>
      </c>
      <c r="J238">
        <v>65</v>
      </c>
      <c r="K238" t="s">
        <v>923</v>
      </c>
      <c r="L238" t="str">
        <f>IF(ISBLANK(Table1[[#This Row],[CancelDate]]),"Active","Churned")</f>
        <v>Active</v>
      </c>
      <c r="M238">
        <f ca="1">IF(ISBLANK(Table1[[#This Row],[CancelDate]]),DATEDIF(Table1[[#This Row],[JoinDate]],TODAY(),"M"),DATEDIF(Table1[[#This Row],[JoinDate]],Table1[[#This Row],[CancelDate]],"M"))</f>
        <v>34</v>
      </c>
      <c r="N238" t="str">
        <f>IF(Table1[[#This Row],[EngagementScore]]&lt;=40,"Low",IF(Table1[[#This Row],[EngagementScore]]&lt;=70,"Medium","High"))</f>
        <v>Medium</v>
      </c>
      <c r="O238" t="str">
        <f>IF(Table1[[#This Row],[Age]]&lt;25,"18-24",
IF(Table1[[#This Row],[Age]]&lt;35,"25-34",
IF(Table1[[#This Row],[Age]]&lt;45,"35-44","45+")))</f>
        <v>35-44</v>
      </c>
    </row>
    <row r="239" spans="1:15" x14ac:dyDescent="0.25">
      <c r="A239" t="s">
        <v>248</v>
      </c>
      <c r="B239" s="4">
        <v>45101</v>
      </c>
      <c r="D239">
        <v>54</v>
      </c>
      <c r="E239" t="s">
        <v>913</v>
      </c>
      <c r="F239" t="s">
        <v>917</v>
      </c>
      <c r="G239" t="s">
        <v>920</v>
      </c>
      <c r="H239">
        <v>18122.490000000002</v>
      </c>
      <c r="I239">
        <v>17</v>
      </c>
      <c r="J239">
        <v>78</v>
      </c>
      <c r="K239" t="s">
        <v>923</v>
      </c>
      <c r="L239" t="str">
        <f>IF(ISBLANK(Table1[[#This Row],[CancelDate]]),"Active","Churned")</f>
        <v>Active</v>
      </c>
      <c r="M239">
        <f ca="1">IF(ISBLANK(Table1[[#This Row],[CancelDate]]),DATEDIF(Table1[[#This Row],[JoinDate]],TODAY(),"M"),DATEDIF(Table1[[#This Row],[JoinDate]],Table1[[#This Row],[CancelDate]],"M"))</f>
        <v>33</v>
      </c>
      <c r="N239" t="str">
        <f>IF(Table1[[#This Row],[EngagementScore]]&lt;=40,"Low",IF(Table1[[#This Row],[EngagementScore]]&lt;=70,"Medium","High"))</f>
        <v>High</v>
      </c>
      <c r="O239" t="str">
        <f>IF(Table1[[#This Row],[Age]]&lt;25,"18-24",
IF(Table1[[#This Row],[Age]]&lt;35,"25-34",
IF(Table1[[#This Row],[Age]]&lt;45,"35-44","45+")))</f>
        <v>45+</v>
      </c>
    </row>
    <row r="240" spans="1:15" x14ac:dyDescent="0.25">
      <c r="A240" t="s">
        <v>249</v>
      </c>
      <c r="B240" s="4">
        <v>44718</v>
      </c>
      <c r="C240" s="1">
        <v>45029</v>
      </c>
      <c r="D240">
        <v>40</v>
      </c>
      <c r="E240" t="s">
        <v>912</v>
      </c>
      <c r="F240" t="s">
        <v>915</v>
      </c>
      <c r="G240" t="s">
        <v>921</v>
      </c>
      <c r="H240">
        <v>6331.02</v>
      </c>
      <c r="I240">
        <v>11</v>
      </c>
      <c r="J240">
        <v>49</v>
      </c>
      <c r="K240" t="s">
        <v>925</v>
      </c>
      <c r="L240" t="str">
        <f>IF(ISBLANK(Table1[[#This Row],[CancelDate]]),"Active","Churned")</f>
        <v>Churned</v>
      </c>
      <c r="M240">
        <f ca="1">IF(ISBLANK(Table1[[#This Row],[CancelDate]]),DATEDIF(Table1[[#This Row],[JoinDate]],TODAY(),"M"),DATEDIF(Table1[[#This Row],[JoinDate]],Table1[[#This Row],[CancelDate]],"M"))</f>
        <v>10</v>
      </c>
      <c r="N240" t="str">
        <f>IF(Table1[[#This Row],[EngagementScore]]&lt;=40,"Low",IF(Table1[[#This Row],[EngagementScore]]&lt;=70,"Medium","High"))</f>
        <v>Medium</v>
      </c>
      <c r="O240" t="str">
        <f>IF(Table1[[#This Row],[Age]]&lt;25,"18-24",
IF(Table1[[#This Row],[Age]]&lt;35,"25-34",
IF(Table1[[#This Row],[Age]]&lt;45,"35-44","45+")))</f>
        <v>35-44</v>
      </c>
    </row>
    <row r="241" spans="1:15" x14ac:dyDescent="0.25">
      <c r="A241" t="s">
        <v>250</v>
      </c>
      <c r="B241" s="4">
        <v>44570</v>
      </c>
      <c r="D241">
        <v>49</v>
      </c>
      <c r="E241" t="s">
        <v>912</v>
      </c>
      <c r="F241" t="s">
        <v>918</v>
      </c>
      <c r="G241" t="s">
        <v>922</v>
      </c>
      <c r="H241">
        <v>29835.16</v>
      </c>
      <c r="I241">
        <v>23</v>
      </c>
      <c r="J241">
        <v>78</v>
      </c>
      <c r="K241" t="s">
        <v>924</v>
      </c>
      <c r="L241" t="str">
        <f>IF(ISBLANK(Table1[[#This Row],[CancelDate]]),"Active","Churned")</f>
        <v>Active</v>
      </c>
      <c r="M241">
        <f ca="1">IF(ISBLANK(Table1[[#This Row],[CancelDate]]),DATEDIF(Table1[[#This Row],[JoinDate]],TODAY(),"M"),DATEDIF(Table1[[#This Row],[JoinDate]],Table1[[#This Row],[CancelDate]],"M"))</f>
        <v>50</v>
      </c>
      <c r="N241" t="str">
        <f>IF(Table1[[#This Row],[EngagementScore]]&lt;=40,"Low",IF(Table1[[#This Row],[EngagementScore]]&lt;=70,"Medium","High"))</f>
        <v>High</v>
      </c>
      <c r="O241" t="str">
        <f>IF(Table1[[#This Row],[Age]]&lt;25,"18-24",
IF(Table1[[#This Row],[Age]]&lt;35,"25-34",
IF(Table1[[#This Row],[Age]]&lt;45,"35-44","45+")))</f>
        <v>45+</v>
      </c>
    </row>
    <row r="242" spans="1:15" x14ac:dyDescent="0.25">
      <c r="A242" t="s">
        <v>251</v>
      </c>
      <c r="B242" s="4">
        <v>45321</v>
      </c>
      <c r="D242">
        <v>48</v>
      </c>
      <c r="E242" t="s">
        <v>911</v>
      </c>
      <c r="F242" t="s">
        <v>915</v>
      </c>
      <c r="G242" t="s">
        <v>922</v>
      </c>
      <c r="H242">
        <v>25262.99</v>
      </c>
      <c r="I242">
        <v>13</v>
      </c>
      <c r="J242">
        <v>96</v>
      </c>
      <c r="K242" t="s">
        <v>925</v>
      </c>
      <c r="L242" t="str">
        <f>IF(ISBLANK(Table1[[#This Row],[CancelDate]]),"Active","Churned")</f>
        <v>Active</v>
      </c>
      <c r="M242">
        <f ca="1">IF(ISBLANK(Table1[[#This Row],[CancelDate]]),DATEDIF(Table1[[#This Row],[JoinDate]],TODAY(),"M"),DATEDIF(Table1[[#This Row],[JoinDate]],Table1[[#This Row],[CancelDate]],"M"))</f>
        <v>26</v>
      </c>
      <c r="N242" t="str">
        <f>IF(Table1[[#This Row],[EngagementScore]]&lt;=40,"Low",IF(Table1[[#This Row],[EngagementScore]]&lt;=70,"Medium","High"))</f>
        <v>High</v>
      </c>
      <c r="O242" t="str">
        <f>IF(Table1[[#This Row],[Age]]&lt;25,"18-24",
IF(Table1[[#This Row],[Age]]&lt;35,"25-34",
IF(Table1[[#This Row],[Age]]&lt;45,"35-44","45+")))</f>
        <v>45+</v>
      </c>
    </row>
    <row r="243" spans="1:15" x14ac:dyDescent="0.25">
      <c r="A243" t="s">
        <v>252</v>
      </c>
      <c r="B243" s="4">
        <v>45043</v>
      </c>
      <c r="D243">
        <v>22</v>
      </c>
      <c r="E243" t="s">
        <v>911</v>
      </c>
      <c r="F243" t="s">
        <v>915</v>
      </c>
      <c r="G243" t="s">
        <v>921</v>
      </c>
      <c r="H243">
        <v>6130.58</v>
      </c>
      <c r="I243">
        <v>9</v>
      </c>
      <c r="J243">
        <v>57</v>
      </c>
      <c r="K243" t="s">
        <v>923</v>
      </c>
      <c r="L243" t="str">
        <f>IF(ISBLANK(Table1[[#This Row],[CancelDate]]),"Active","Churned")</f>
        <v>Active</v>
      </c>
      <c r="M243">
        <f ca="1">IF(ISBLANK(Table1[[#This Row],[CancelDate]]),DATEDIF(Table1[[#This Row],[JoinDate]],TODAY(),"M"),DATEDIF(Table1[[#This Row],[JoinDate]],Table1[[#This Row],[CancelDate]],"M"))</f>
        <v>35</v>
      </c>
      <c r="N243" t="str">
        <f>IF(Table1[[#This Row],[EngagementScore]]&lt;=40,"Low",IF(Table1[[#This Row],[EngagementScore]]&lt;=70,"Medium","High"))</f>
        <v>Medium</v>
      </c>
      <c r="O243" t="str">
        <f>IF(Table1[[#This Row],[Age]]&lt;25,"18-24",
IF(Table1[[#This Row],[Age]]&lt;35,"25-34",
IF(Table1[[#This Row],[Age]]&lt;45,"35-44","45+")))</f>
        <v>18-24</v>
      </c>
    </row>
    <row r="244" spans="1:15" x14ac:dyDescent="0.25">
      <c r="A244" t="s">
        <v>253</v>
      </c>
      <c r="B244" s="4">
        <v>45174</v>
      </c>
      <c r="C244" s="1">
        <v>45461</v>
      </c>
      <c r="D244">
        <v>23</v>
      </c>
      <c r="E244" t="s">
        <v>912</v>
      </c>
      <c r="F244" t="s">
        <v>917</v>
      </c>
      <c r="G244" t="s">
        <v>921</v>
      </c>
      <c r="H244">
        <v>3217.22</v>
      </c>
      <c r="I244">
        <v>7</v>
      </c>
      <c r="J244">
        <v>14</v>
      </c>
      <c r="K244" t="s">
        <v>925</v>
      </c>
      <c r="L244" t="str">
        <f>IF(ISBLANK(Table1[[#This Row],[CancelDate]]),"Active","Churned")</f>
        <v>Churned</v>
      </c>
      <c r="M244">
        <f ca="1">IF(ISBLANK(Table1[[#This Row],[CancelDate]]),DATEDIF(Table1[[#This Row],[JoinDate]],TODAY(),"M"),DATEDIF(Table1[[#This Row],[JoinDate]],Table1[[#This Row],[CancelDate]],"M"))</f>
        <v>9</v>
      </c>
      <c r="N244" t="str">
        <f>IF(Table1[[#This Row],[EngagementScore]]&lt;=40,"Low",IF(Table1[[#This Row],[EngagementScore]]&lt;=70,"Medium","High"))</f>
        <v>Low</v>
      </c>
      <c r="O244" t="str">
        <f>IF(Table1[[#This Row],[Age]]&lt;25,"18-24",
IF(Table1[[#This Row],[Age]]&lt;35,"25-34",
IF(Table1[[#This Row],[Age]]&lt;45,"35-44","45+")))</f>
        <v>18-24</v>
      </c>
    </row>
    <row r="245" spans="1:15" x14ac:dyDescent="0.25">
      <c r="A245" t="s">
        <v>254</v>
      </c>
      <c r="B245" s="4">
        <v>44990</v>
      </c>
      <c r="C245" s="1">
        <v>45171</v>
      </c>
      <c r="D245">
        <v>46</v>
      </c>
      <c r="E245" t="s">
        <v>911</v>
      </c>
      <c r="F245" t="s">
        <v>916</v>
      </c>
      <c r="G245" t="s">
        <v>921</v>
      </c>
      <c r="H245">
        <v>4497.26</v>
      </c>
      <c r="I245">
        <v>5</v>
      </c>
      <c r="J245">
        <v>22</v>
      </c>
      <c r="K245" t="s">
        <v>923</v>
      </c>
      <c r="L245" t="str">
        <f>IF(ISBLANK(Table1[[#This Row],[CancelDate]]),"Active","Churned")</f>
        <v>Churned</v>
      </c>
      <c r="M245">
        <f ca="1">IF(ISBLANK(Table1[[#This Row],[CancelDate]]),DATEDIF(Table1[[#This Row],[JoinDate]],TODAY(),"M"),DATEDIF(Table1[[#This Row],[JoinDate]],Table1[[#This Row],[CancelDate]],"M"))</f>
        <v>5</v>
      </c>
      <c r="N245" t="str">
        <f>IF(Table1[[#This Row],[EngagementScore]]&lt;=40,"Low",IF(Table1[[#This Row],[EngagementScore]]&lt;=70,"Medium","High"))</f>
        <v>Low</v>
      </c>
      <c r="O245" t="str">
        <f>IF(Table1[[#This Row],[Age]]&lt;25,"18-24",
IF(Table1[[#This Row],[Age]]&lt;35,"25-34",
IF(Table1[[#This Row],[Age]]&lt;45,"35-44","45+")))</f>
        <v>45+</v>
      </c>
    </row>
    <row r="246" spans="1:15" x14ac:dyDescent="0.25">
      <c r="A246" t="s">
        <v>255</v>
      </c>
      <c r="B246" s="4">
        <v>45328</v>
      </c>
      <c r="D246">
        <v>54</v>
      </c>
      <c r="E246" t="s">
        <v>912</v>
      </c>
      <c r="F246" t="s">
        <v>919</v>
      </c>
      <c r="G246" t="s">
        <v>922</v>
      </c>
      <c r="H246">
        <v>6692.29</v>
      </c>
      <c r="I246">
        <v>10</v>
      </c>
      <c r="J246">
        <v>54</v>
      </c>
      <c r="K246" t="s">
        <v>923</v>
      </c>
      <c r="L246" t="str">
        <f>IF(ISBLANK(Table1[[#This Row],[CancelDate]]),"Active","Churned")</f>
        <v>Active</v>
      </c>
      <c r="M246">
        <f ca="1">IF(ISBLANK(Table1[[#This Row],[CancelDate]]),DATEDIF(Table1[[#This Row],[JoinDate]],TODAY(),"M"),DATEDIF(Table1[[#This Row],[JoinDate]],Table1[[#This Row],[CancelDate]],"M"))</f>
        <v>25</v>
      </c>
      <c r="N246" t="str">
        <f>IF(Table1[[#This Row],[EngagementScore]]&lt;=40,"Low",IF(Table1[[#This Row],[EngagementScore]]&lt;=70,"Medium","High"))</f>
        <v>Medium</v>
      </c>
      <c r="O246" t="str">
        <f>IF(Table1[[#This Row],[Age]]&lt;25,"18-24",
IF(Table1[[#This Row],[Age]]&lt;35,"25-34",
IF(Table1[[#This Row],[Age]]&lt;45,"35-44","45+")))</f>
        <v>45+</v>
      </c>
    </row>
    <row r="247" spans="1:15" x14ac:dyDescent="0.25">
      <c r="A247" t="s">
        <v>256</v>
      </c>
      <c r="B247" s="4">
        <v>45384</v>
      </c>
      <c r="C247" s="1">
        <v>45434</v>
      </c>
      <c r="D247">
        <v>33</v>
      </c>
      <c r="E247" t="s">
        <v>911</v>
      </c>
      <c r="F247" t="s">
        <v>918</v>
      </c>
      <c r="G247" t="s">
        <v>920</v>
      </c>
      <c r="H247">
        <v>11203.98</v>
      </c>
      <c r="I247">
        <v>6</v>
      </c>
      <c r="J247">
        <v>41</v>
      </c>
      <c r="K247" t="s">
        <v>923</v>
      </c>
      <c r="L247" t="str">
        <f>IF(ISBLANK(Table1[[#This Row],[CancelDate]]),"Active","Churned")</f>
        <v>Churned</v>
      </c>
      <c r="M247">
        <f ca="1">IF(ISBLANK(Table1[[#This Row],[CancelDate]]),DATEDIF(Table1[[#This Row],[JoinDate]],TODAY(),"M"),DATEDIF(Table1[[#This Row],[JoinDate]],Table1[[#This Row],[CancelDate]],"M"))</f>
        <v>1</v>
      </c>
      <c r="N247" t="str">
        <f>IF(Table1[[#This Row],[EngagementScore]]&lt;=40,"Low",IF(Table1[[#This Row],[EngagementScore]]&lt;=70,"Medium","High"))</f>
        <v>Medium</v>
      </c>
      <c r="O247" t="str">
        <f>IF(Table1[[#This Row],[Age]]&lt;25,"18-24",
IF(Table1[[#This Row],[Age]]&lt;35,"25-34",
IF(Table1[[#This Row],[Age]]&lt;45,"35-44","45+")))</f>
        <v>25-34</v>
      </c>
    </row>
    <row r="248" spans="1:15" x14ac:dyDescent="0.25">
      <c r="A248" t="s">
        <v>257</v>
      </c>
      <c r="B248" s="4">
        <v>44860</v>
      </c>
      <c r="C248" s="1">
        <v>45071</v>
      </c>
      <c r="D248">
        <v>34</v>
      </c>
      <c r="E248" t="s">
        <v>912</v>
      </c>
      <c r="F248" t="s">
        <v>915</v>
      </c>
      <c r="G248" t="s">
        <v>921</v>
      </c>
      <c r="H248">
        <v>14509.55</v>
      </c>
      <c r="I248">
        <v>14</v>
      </c>
      <c r="J248">
        <v>60</v>
      </c>
      <c r="K248" t="s">
        <v>925</v>
      </c>
      <c r="L248" t="str">
        <f>IF(ISBLANK(Table1[[#This Row],[CancelDate]]),"Active","Churned")</f>
        <v>Churned</v>
      </c>
      <c r="M248">
        <f ca="1">IF(ISBLANK(Table1[[#This Row],[CancelDate]]),DATEDIF(Table1[[#This Row],[JoinDate]],TODAY(),"M"),DATEDIF(Table1[[#This Row],[JoinDate]],Table1[[#This Row],[CancelDate]],"M"))</f>
        <v>6</v>
      </c>
      <c r="N248" t="str">
        <f>IF(Table1[[#This Row],[EngagementScore]]&lt;=40,"Low",IF(Table1[[#This Row],[EngagementScore]]&lt;=70,"Medium","High"))</f>
        <v>Medium</v>
      </c>
      <c r="O248" t="str">
        <f>IF(Table1[[#This Row],[Age]]&lt;25,"18-24",
IF(Table1[[#This Row],[Age]]&lt;35,"25-34",
IF(Table1[[#This Row],[Age]]&lt;45,"35-44","45+")))</f>
        <v>25-34</v>
      </c>
    </row>
    <row r="249" spans="1:15" x14ac:dyDescent="0.25">
      <c r="A249" t="s">
        <v>258</v>
      </c>
      <c r="B249" s="4">
        <v>44910</v>
      </c>
      <c r="C249" s="1">
        <v>45022</v>
      </c>
      <c r="D249">
        <v>39</v>
      </c>
      <c r="E249" t="s">
        <v>911</v>
      </c>
      <c r="F249" t="s">
        <v>917</v>
      </c>
      <c r="G249" t="s">
        <v>921</v>
      </c>
      <c r="H249">
        <v>6956.95</v>
      </c>
      <c r="I249">
        <v>4</v>
      </c>
      <c r="J249">
        <v>17</v>
      </c>
      <c r="K249" t="s">
        <v>925</v>
      </c>
      <c r="L249" t="str">
        <f>IF(ISBLANK(Table1[[#This Row],[CancelDate]]),"Active","Churned")</f>
        <v>Churned</v>
      </c>
      <c r="M249">
        <f ca="1">IF(ISBLANK(Table1[[#This Row],[CancelDate]]),DATEDIF(Table1[[#This Row],[JoinDate]],TODAY(),"M"),DATEDIF(Table1[[#This Row],[JoinDate]],Table1[[#This Row],[CancelDate]],"M"))</f>
        <v>3</v>
      </c>
      <c r="N249" t="str">
        <f>IF(Table1[[#This Row],[EngagementScore]]&lt;=40,"Low",IF(Table1[[#This Row],[EngagementScore]]&lt;=70,"Medium","High"))</f>
        <v>Low</v>
      </c>
      <c r="O249" t="str">
        <f>IF(Table1[[#This Row],[Age]]&lt;25,"18-24",
IF(Table1[[#This Row],[Age]]&lt;35,"25-34",
IF(Table1[[#This Row],[Age]]&lt;45,"35-44","45+")))</f>
        <v>35-44</v>
      </c>
    </row>
    <row r="250" spans="1:15" x14ac:dyDescent="0.25">
      <c r="A250" t="s">
        <v>259</v>
      </c>
      <c r="B250" s="4">
        <v>45081</v>
      </c>
      <c r="D250">
        <v>20</v>
      </c>
      <c r="E250" t="s">
        <v>911</v>
      </c>
      <c r="F250" t="s">
        <v>916</v>
      </c>
      <c r="G250" t="s">
        <v>921</v>
      </c>
      <c r="H250">
        <v>10170.84</v>
      </c>
      <c r="I250">
        <v>9</v>
      </c>
      <c r="J250">
        <v>61</v>
      </c>
      <c r="K250" t="s">
        <v>925</v>
      </c>
      <c r="L250" t="str">
        <f>IF(ISBLANK(Table1[[#This Row],[CancelDate]]),"Active","Churned")</f>
        <v>Active</v>
      </c>
      <c r="M250">
        <f ca="1">IF(ISBLANK(Table1[[#This Row],[CancelDate]]),DATEDIF(Table1[[#This Row],[JoinDate]],TODAY(),"M"),DATEDIF(Table1[[#This Row],[JoinDate]],Table1[[#This Row],[CancelDate]],"M"))</f>
        <v>33</v>
      </c>
      <c r="N250" t="str">
        <f>IF(Table1[[#This Row],[EngagementScore]]&lt;=40,"Low",IF(Table1[[#This Row],[EngagementScore]]&lt;=70,"Medium","High"))</f>
        <v>Medium</v>
      </c>
      <c r="O250" t="str">
        <f>IF(Table1[[#This Row],[Age]]&lt;25,"18-24",
IF(Table1[[#This Row],[Age]]&lt;35,"25-34",
IF(Table1[[#This Row],[Age]]&lt;45,"35-44","45+")))</f>
        <v>18-24</v>
      </c>
    </row>
    <row r="251" spans="1:15" x14ac:dyDescent="0.25">
      <c r="A251" t="s">
        <v>260</v>
      </c>
      <c r="B251" s="4">
        <v>45315</v>
      </c>
      <c r="C251" s="1">
        <v>45443</v>
      </c>
      <c r="D251">
        <v>39</v>
      </c>
      <c r="E251" t="s">
        <v>911</v>
      </c>
      <c r="F251" t="s">
        <v>917</v>
      </c>
      <c r="G251" t="s">
        <v>920</v>
      </c>
      <c r="H251">
        <v>7189.31</v>
      </c>
      <c r="I251">
        <v>7</v>
      </c>
      <c r="J251">
        <v>43</v>
      </c>
      <c r="K251" t="s">
        <v>925</v>
      </c>
      <c r="L251" t="str">
        <f>IF(ISBLANK(Table1[[#This Row],[CancelDate]]),"Active","Churned")</f>
        <v>Churned</v>
      </c>
      <c r="M251">
        <f ca="1">IF(ISBLANK(Table1[[#This Row],[CancelDate]]),DATEDIF(Table1[[#This Row],[JoinDate]],TODAY(),"M"),DATEDIF(Table1[[#This Row],[JoinDate]],Table1[[#This Row],[CancelDate]],"M"))</f>
        <v>4</v>
      </c>
      <c r="N251" t="str">
        <f>IF(Table1[[#This Row],[EngagementScore]]&lt;=40,"Low",IF(Table1[[#This Row],[EngagementScore]]&lt;=70,"Medium","High"))</f>
        <v>Medium</v>
      </c>
      <c r="O251" t="str">
        <f>IF(Table1[[#This Row],[Age]]&lt;25,"18-24",
IF(Table1[[#This Row],[Age]]&lt;35,"25-34",
IF(Table1[[#This Row],[Age]]&lt;45,"35-44","45+")))</f>
        <v>35-44</v>
      </c>
    </row>
    <row r="252" spans="1:15" x14ac:dyDescent="0.25">
      <c r="A252" t="s">
        <v>261</v>
      </c>
      <c r="B252" s="4">
        <v>44705</v>
      </c>
      <c r="C252" s="1">
        <v>45019</v>
      </c>
      <c r="D252">
        <v>47</v>
      </c>
      <c r="E252" t="s">
        <v>912</v>
      </c>
      <c r="F252" t="s">
        <v>917</v>
      </c>
      <c r="G252" t="s">
        <v>921</v>
      </c>
      <c r="H252">
        <v>10848.74</v>
      </c>
      <c r="I252">
        <v>12</v>
      </c>
      <c r="J252">
        <v>44</v>
      </c>
      <c r="K252" t="s">
        <v>925</v>
      </c>
      <c r="L252" t="str">
        <f>IF(ISBLANK(Table1[[#This Row],[CancelDate]]),"Active","Churned")</f>
        <v>Churned</v>
      </c>
      <c r="M252">
        <f ca="1">IF(ISBLANK(Table1[[#This Row],[CancelDate]]),DATEDIF(Table1[[#This Row],[JoinDate]],TODAY(),"M"),DATEDIF(Table1[[#This Row],[JoinDate]],Table1[[#This Row],[CancelDate]],"M"))</f>
        <v>10</v>
      </c>
      <c r="N252" t="str">
        <f>IF(Table1[[#This Row],[EngagementScore]]&lt;=40,"Low",IF(Table1[[#This Row],[EngagementScore]]&lt;=70,"Medium","High"))</f>
        <v>Medium</v>
      </c>
      <c r="O252" t="str">
        <f>IF(Table1[[#This Row],[Age]]&lt;25,"18-24",
IF(Table1[[#This Row],[Age]]&lt;35,"25-34",
IF(Table1[[#This Row],[Age]]&lt;45,"35-44","45+")))</f>
        <v>45+</v>
      </c>
    </row>
    <row r="253" spans="1:15" x14ac:dyDescent="0.25">
      <c r="A253" t="s">
        <v>262</v>
      </c>
      <c r="B253" s="4">
        <v>45202</v>
      </c>
      <c r="C253" s="1">
        <v>45505</v>
      </c>
      <c r="D253">
        <v>22</v>
      </c>
      <c r="E253" t="s">
        <v>911</v>
      </c>
      <c r="F253" t="s">
        <v>916</v>
      </c>
      <c r="G253" t="s">
        <v>921</v>
      </c>
      <c r="H253">
        <v>7762.04</v>
      </c>
      <c r="I253">
        <v>4</v>
      </c>
      <c r="J253">
        <v>16</v>
      </c>
      <c r="K253" t="s">
        <v>925</v>
      </c>
      <c r="L253" t="str">
        <f>IF(ISBLANK(Table1[[#This Row],[CancelDate]]),"Active","Churned")</f>
        <v>Churned</v>
      </c>
      <c r="M253">
        <f ca="1">IF(ISBLANK(Table1[[#This Row],[CancelDate]]),DATEDIF(Table1[[#This Row],[JoinDate]],TODAY(),"M"),DATEDIF(Table1[[#This Row],[JoinDate]],Table1[[#This Row],[CancelDate]],"M"))</f>
        <v>9</v>
      </c>
      <c r="N253" t="str">
        <f>IF(Table1[[#This Row],[EngagementScore]]&lt;=40,"Low",IF(Table1[[#This Row],[EngagementScore]]&lt;=70,"Medium","High"))</f>
        <v>Low</v>
      </c>
      <c r="O253" t="str">
        <f>IF(Table1[[#This Row],[Age]]&lt;25,"18-24",
IF(Table1[[#This Row],[Age]]&lt;35,"25-34",
IF(Table1[[#This Row],[Age]]&lt;45,"35-44","45+")))</f>
        <v>18-24</v>
      </c>
    </row>
    <row r="254" spans="1:15" x14ac:dyDescent="0.25">
      <c r="A254" t="s">
        <v>263</v>
      </c>
      <c r="B254" s="4">
        <v>44772</v>
      </c>
      <c r="D254">
        <v>39</v>
      </c>
      <c r="E254" t="s">
        <v>911</v>
      </c>
      <c r="F254" t="s">
        <v>918</v>
      </c>
      <c r="G254" t="s">
        <v>920</v>
      </c>
      <c r="H254">
        <v>12160.52</v>
      </c>
      <c r="I254">
        <v>7</v>
      </c>
      <c r="J254">
        <v>44</v>
      </c>
      <c r="K254" t="s">
        <v>913</v>
      </c>
      <c r="L254" t="str">
        <f>IF(ISBLANK(Table1[[#This Row],[CancelDate]]),"Active","Churned")</f>
        <v>Active</v>
      </c>
      <c r="M254">
        <f ca="1">IF(ISBLANK(Table1[[#This Row],[CancelDate]]),DATEDIF(Table1[[#This Row],[JoinDate]],TODAY(),"M"),DATEDIF(Table1[[#This Row],[JoinDate]],Table1[[#This Row],[CancelDate]],"M"))</f>
        <v>44</v>
      </c>
      <c r="N254" t="str">
        <f>IF(Table1[[#This Row],[EngagementScore]]&lt;=40,"Low",IF(Table1[[#This Row],[EngagementScore]]&lt;=70,"Medium","High"))</f>
        <v>Medium</v>
      </c>
      <c r="O254" t="str">
        <f>IF(Table1[[#This Row],[Age]]&lt;25,"18-24",
IF(Table1[[#This Row],[Age]]&lt;35,"25-34",
IF(Table1[[#This Row],[Age]]&lt;45,"35-44","45+")))</f>
        <v>35-44</v>
      </c>
    </row>
    <row r="255" spans="1:15" x14ac:dyDescent="0.25">
      <c r="A255" t="s">
        <v>264</v>
      </c>
      <c r="B255" s="4">
        <v>44793</v>
      </c>
      <c r="D255">
        <v>25</v>
      </c>
      <c r="E255" t="s">
        <v>912</v>
      </c>
      <c r="F255" t="s">
        <v>915</v>
      </c>
      <c r="G255" t="s">
        <v>921</v>
      </c>
      <c r="H255">
        <v>7999.02</v>
      </c>
      <c r="I255">
        <v>7</v>
      </c>
      <c r="J255">
        <v>33</v>
      </c>
      <c r="K255" t="s">
        <v>923</v>
      </c>
      <c r="L255" t="str">
        <f>IF(ISBLANK(Table1[[#This Row],[CancelDate]]),"Active","Churned")</f>
        <v>Active</v>
      </c>
      <c r="M255">
        <f ca="1">IF(ISBLANK(Table1[[#This Row],[CancelDate]]),DATEDIF(Table1[[#This Row],[JoinDate]],TODAY(),"M"),DATEDIF(Table1[[#This Row],[JoinDate]],Table1[[#This Row],[CancelDate]],"M"))</f>
        <v>43</v>
      </c>
      <c r="N255" t="str">
        <f>IF(Table1[[#This Row],[EngagementScore]]&lt;=40,"Low",IF(Table1[[#This Row],[EngagementScore]]&lt;=70,"Medium","High"))</f>
        <v>Low</v>
      </c>
      <c r="O255" t="str">
        <f>IF(Table1[[#This Row],[Age]]&lt;25,"18-24",
IF(Table1[[#This Row],[Age]]&lt;35,"25-34",
IF(Table1[[#This Row],[Age]]&lt;45,"35-44","45+")))</f>
        <v>25-34</v>
      </c>
    </row>
    <row r="256" spans="1:15" x14ac:dyDescent="0.25">
      <c r="A256" t="s">
        <v>265</v>
      </c>
      <c r="B256" s="4">
        <v>45250</v>
      </c>
      <c r="D256">
        <v>38</v>
      </c>
      <c r="E256" t="s">
        <v>912</v>
      </c>
      <c r="F256" t="s">
        <v>915</v>
      </c>
      <c r="G256" t="s">
        <v>922</v>
      </c>
      <c r="H256">
        <v>5292.34</v>
      </c>
      <c r="I256">
        <v>1</v>
      </c>
      <c r="J256">
        <v>35</v>
      </c>
      <c r="K256" t="s">
        <v>925</v>
      </c>
      <c r="L256" t="str">
        <f>IF(ISBLANK(Table1[[#This Row],[CancelDate]]),"Active","Churned")</f>
        <v>Active</v>
      </c>
      <c r="M256">
        <f ca="1">IF(ISBLANK(Table1[[#This Row],[CancelDate]]),DATEDIF(Table1[[#This Row],[JoinDate]],TODAY(),"M"),DATEDIF(Table1[[#This Row],[JoinDate]],Table1[[#This Row],[CancelDate]],"M"))</f>
        <v>28</v>
      </c>
      <c r="N256" t="str">
        <f>IF(Table1[[#This Row],[EngagementScore]]&lt;=40,"Low",IF(Table1[[#This Row],[EngagementScore]]&lt;=70,"Medium","High"))</f>
        <v>Low</v>
      </c>
      <c r="O256" t="str">
        <f>IF(Table1[[#This Row],[Age]]&lt;25,"18-24",
IF(Table1[[#This Row],[Age]]&lt;35,"25-34",
IF(Table1[[#This Row],[Age]]&lt;45,"35-44","45+")))</f>
        <v>35-44</v>
      </c>
    </row>
    <row r="257" spans="1:15" x14ac:dyDescent="0.25">
      <c r="A257" t="s">
        <v>266</v>
      </c>
      <c r="B257" s="4">
        <v>45010</v>
      </c>
      <c r="D257">
        <v>38</v>
      </c>
      <c r="E257" t="s">
        <v>911</v>
      </c>
      <c r="F257" t="s">
        <v>916</v>
      </c>
      <c r="G257" t="s">
        <v>922</v>
      </c>
      <c r="H257">
        <v>6759.36</v>
      </c>
      <c r="I257">
        <v>1</v>
      </c>
      <c r="J257">
        <v>32</v>
      </c>
      <c r="K257" t="s">
        <v>924</v>
      </c>
      <c r="L257" t="str">
        <f>IF(ISBLANK(Table1[[#This Row],[CancelDate]]),"Active","Churned")</f>
        <v>Active</v>
      </c>
      <c r="M257">
        <f ca="1">IF(ISBLANK(Table1[[#This Row],[CancelDate]]),DATEDIF(Table1[[#This Row],[JoinDate]],TODAY(),"M"),DATEDIF(Table1[[#This Row],[JoinDate]],Table1[[#This Row],[CancelDate]],"M"))</f>
        <v>36</v>
      </c>
      <c r="N257" t="str">
        <f>IF(Table1[[#This Row],[EngagementScore]]&lt;=40,"Low",IF(Table1[[#This Row],[EngagementScore]]&lt;=70,"Medium","High"))</f>
        <v>Low</v>
      </c>
      <c r="O257" t="str">
        <f>IF(Table1[[#This Row],[Age]]&lt;25,"18-24",
IF(Table1[[#This Row],[Age]]&lt;35,"25-34",
IF(Table1[[#This Row],[Age]]&lt;45,"35-44","45+")))</f>
        <v>35-44</v>
      </c>
    </row>
    <row r="258" spans="1:15" x14ac:dyDescent="0.25">
      <c r="A258" t="s">
        <v>267</v>
      </c>
      <c r="B258" s="4">
        <v>44606</v>
      </c>
      <c r="C258" s="1">
        <v>44734</v>
      </c>
      <c r="D258">
        <v>38</v>
      </c>
      <c r="E258" t="s">
        <v>912</v>
      </c>
      <c r="F258" t="s">
        <v>915</v>
      </c>
      <c r="G258" t="s">
        <v>920</v>
      </c>
      <c r="H258">
        <v>2216</v>
      </c>
      <c r="I258">
        <v>2</v>
      </c>
      <c r="J258">
        <v>13</v>
      </c>
      <c r="K258" t="s">
        <v>913</v>
      </c>
      <c r="L258" t="str">
        <f>IF(ISBLANK(Table1[[#This Row],[CancelDate]]),"Active","Churned")</f>
        <v>Churned</v>
      </c>
      <c r="M258">
        <f ca="1">IF(ISBLANK(Table1[[#This Row],[CancelDate]]),DATEDIF(Table1[[#This Row],[JoinDate]],TODAY(),"M"),DATEDIF(Table1[[#This Row],[JoinDate]],Table1[[#This Row],[CancelDate]],"M"))</f>
        <v>4</v>
      </c>
      <c r="N258" t="str">
        <f>IF(Table1[[#This Row],[EngagementScore]]&lt;=40,"Low",IF(Table1[[#This Row],[EngagementScore]]&lt;=70,"Medium","High"))</f>
        <v>Low</v>
      </c>
      <c r="O258" t="str">
        <f>IF(Table1[[#This Row],[Age]]&lt;25,"18-24",
IF(Table1[[#This Row],[Age]]&lt;35,"25-34",
IF(Table1[[#This Row],[Age]]&lt;45,"35-44","45+")))</f>
        <v>35-44</v>
      </c>
    </row>
    <row r="259" spans="1:15" x14ac:dyDescent="0.25">
      <c r="A259" t="s">
        <v>268</v>
      </c>
      <c r="B259" s="4">
        <v>45083</v>
      </c>
      <c r="C259" s="1">
        <v>45309</v>
      </c>
      <c r="D259">
        <v>32</v>
      </c>
      <c r="E259" t="s">
        <v>911</v>
      </c>
      <c r="F259" t="s">
        <v>919</v>
      </c>
      <c r="G259" t="s">
        <v>921</v>
      </c>
      <c r="H259">
        <v>4077.88</v>
      </c>
      <c r="I259">
        <v>3</v>
      </c>
      <c r="J259">
        <v>17</v>
      </c>
      <c r="K259" t="s">
        <v>923</v>
      </c>
      <c r="L259" t="str">
        <f>IF(ISBLANK(Table1[[#This Row],[CancelDate]]),"Active","Churned")</f>
        <v>Churned</v>
      </c>
      <c r="M259">
        <f ca="1">IF(ISBLANK(Table1[[#This Row],[CancelDate]]),DATEDIF(Table1[[#This Row],[JoinDate]],TODAY(),"M"),DATEDIF(Table1[[#This Row],[JoinDate]],Table1[[#This Row],[CancelDate]],"M"))</f>
        <v>7</v>
      </c>
      <c r="N259" t="str">
        <f>IF(Table1[[#This Row],[EngagementScore]]&lt;=40,"Low",IF(Table1[[#This Row],[EngagementScore]]&lt;=70,"Medium","High"))</f>
        <v>Low</v>
      </c>
      <c r="O259" t="str">
        <f>IF(Table1[[#This Row],[Age]]&lt;25,"18-24",
IF(Table1[[#This Row],[Age]]&lt;35,"25-34",
IF(Table1[[#This Row],[Age]]&lt;45,"35-44","45+")))</f>
        <v>25-34</v>
      </c>
    </row>
    <row r="260" spans="1:15" x14ac:dyDescent="0.25">
      <c r="A260" t="s">
        <v>269</v>
      </c>
      <c r="B260" s="4">
        <v>45376</v>
      </c>
      <c r="C260" s="1">
        <v>45501</v>
      </c>
      <c r="D260">
        <v>20</v>
      </c>
      <c r="E260" t="s">
        <v>912</v>
      </c>
      <c r="F260" t="s">
        <v>915</v>
      </c>
      <c r="G260" t="s">
        <v>920</v>
      </c>
      <c r="H260">
        <v>12148.58</v>
      </c>
      <c r="I260">
        <v>12</v>
      </c>
      <c r="J260">
        <v>40</v>
      </c>
      <c r="K260" t="s">
        <v>925</v>
      </c>
      <c r="L260" t="str">
        <f>IF(ISBLANK(Table1[[#This Row],[CancelDate]]),"Active","Churned")</f>
        <v>Churned</v>
      </c>
      <c r="M260">
        <f ca="1">IF(ISBLANK(Table1[[#This Row],[CancelDate]]),DATEDIF(Table1[[#This Row],[JoinDate]],TODAY(),"M"),DATEDIF(Table1[[#This Row],[JoinDate]],Table1[[#This Row],[CancelDate]],"M"))</f>
        <v>4</v>
      </c>
      <c r="N260" t="str">
        <f>IF(Table1[[#This Row],[EngagementScore]]&lt;=40,"Low",IF(Table1[[#This Row],[EngagementScore]]&lt;=70,"Medium","High"))</f>
        <v>Low</v>
      </c>
      <c r="O260" t="str">
        <f>IF(Table1[[#This Row],[Age]]&lt;25,"18-24",
IF(Table1[[#This Row],[Age]]&lt;35,"25-34",
IF(Table1[[#This Row],[Age]]&lt;45,"35-44","45+")))</f>
        <v>18-24</v>
      </c>
    </row>
    <row r="261" spans="1:15" x14ac:dyDescent="0.25">
      <c r="A261" t="s">
        <v>270</v>
      </c>
      <c r="B261" s="4">
        <v>45002</v>
      </c>
      <c r="D261">
        <v>26</v>
      </c>
      <c r="E261" t="s">
        <v>911</v>
      </c>
      <c r="F261" t="s">
        <v>916</v>
      </c>
      <c r="G261" t="s">
        <v>921</v>
      </c>
      <c r="H261">
        <v>28707.31</v>
      </c>
      <c r="I261">
        <v>21</v>
      </c>
      <c r="J261">
        <v>79</v>
      </c>
      <c r="K261" t="s">
        <v>924</v>
      </c>
      <c r="L261" t="str">
        <f>IF(ISBLANK(Table1[[#This Row],[CancelDate]]),"Active","Churned")</f>
        <v>Active</v>
      </c>
      <c r="M261">
        <f ca="1">IF(ISBLANK(Table1[[#This Row],[CancelDate]]),DATEDIF(Table1[[#This Row],[JoinDate]],TODAY(),"M"),DATEDIF(Table1[[#This Row],[JoinDate]],Table1[[#This Row],[CancelDate]],"M"))</f>
        <v>36</v>
      </c>
      <c r="N261" t="str">
        <f>IF(Table1[[#This Row],[EngagementScore]]&lt;=40,"Low",IF(Table1[[#This Row],[EngagementScore]]&lt;=70,"Medium","High"))</f>
        <v>High</v>
      </c>
      <c r="O261" t="str">
        <f>IF(Table1[[#This Row],[Age]]&lt;25,"18-24",
IF(Table1[[#This Row],[Age]]&lt;35,"25-34",
IF(Table1[[#This Row],[Age]]&lt;45,"35-44","45+")))</f>
        <v>25-34</v>
      </c>
    </row>
    <row r="262" spans="1:15" x14ac:dyDescent="0.25">
      <c r="A262" t="s">
        <v>271</v>
      </c>
      <c r="B262" s="4">
        <v>44738</v>
      </c>
      <c r="C262" s="1">
        <v>44914</v>
      </c>
      <c r="D262">
        <v>25</v>
      </c>
      <c r="E262" t="s">
        <v>911</v>
      </c>
      <c r="F262" t="s">
        <v>918</v>
      </c>
      <c r="G262" t="s">
        <v>922</v>
      </c>
      <c r="H262">
        <v>17014.52</v>
      </c>
      <c r="I262">
        <v>18</v>
      </c>
      <c r="J262">
        <v>93</v>
      </c>
      <c r="K262" t="s">
        <v>923</v>
      </c>
      <c r="L262" t="str">
        <f>IF(ISBLANK(Table1[[#This Row],[CancelDate]]),"Active","Churned")</f>
        <v>Churned</v>
      </c>
      <c r="M262">
        <f ca="1">IF(ISBLANK(Table1[[#This Row],[CancelDate]]),DATEDIF(Table1[[#This Row],[JoinDate]],TODAY(),"M"),DATEDIF(Table1[[#This Row],[JoinDate]],Table1[[#This Row],[CancelDate]],"M"))</f>
        <v>5</v>
      </c>
      <c r="N262" t="str">
        <f>IF(Table1[[#This Row],[EngagementScore]]&lt;=40,"Low",IF(Table1[[#This Row],[EngagementScore]]&lt;=70,"Medium","High"))</f>
        <v>High</v>
      </c>
      <c r="O262" t="str">
        <f>IF(Table1[[#This Row],[Age]]&lt;25,"18-24",
IF(Table1[[#This Row],[Age]]&lt;35,"25-34",
IF(Table1[[#This Row],[Age]]&lt;45,"35-44","45+")))</f>
        <v>25-34</v>
      </c>
    </row>
    <row r="263" spans="1:15" x14ac:dyDescent="0.25">
      <c r="A263" t="s">
        <v>272</v>
      </c>
      <c r="B263" s="4">
        <v>45201</v>
      </c>
      <c r="D263">
        <v>40</v>
      </c>
      <c r="E263" t="s">
        <v>911</v>
      </c>
      <c r="F263" t="s">
        <v>916</v>
      </c>
      <c r="G263" t="s">
        <v>921</v>
      </c>
      <c r="H263">
        <v>16072.16</v>
      </c>
      <c r="I263">
        <v>14</v>
      </c>
      <c r="J263">
        <v>72</v>
      </c>
      <c r="K263" t="s">
        <v>923</v>
      </c>
      <c r="L263" t="str">
        <f>IF(ISBLANK(Table1[[#This Row],[CancelDate]]),"Active","Churned")</f>
        <v>Active</v>
      </c>
      <c r="M263">
        <f ca="1">IF(ISBLANK(Table1[[#This Row],[CancelDate]]),DATEDIF(Table1[[#This Row],[JoinDate]],TODAY(),"M"),DATEDIF(Table1[[#This Row],[JoinDate]],Table1[[#This Row],[CancelDate]],"M"))</f>
        <v>30</v>
      </c>
      <c r="N263" t="str">
        <f>IF(Table1[[#This Row],[EngagementScore]]&lt;=40,"Low",IF(Table1[[#This Row],[EngagementScore]]&lt;=70,"Medium","High"))</f>
        <v>High</v>
      </c>
      <c r="O263" t="str">
        <f>IF(Table1[[#This Row],[Age]]&lt;25,"18-24",
IF(Table1[[#This Row],[Age]]&lt;35,"25-34",
IF(Table1[[#This Row],[Age]]&lt;45,"35-44","45+")))</f>
        <v>35-44</v>
      </c>
    </row>
    <row r="264" spans="1:15" x14ac:dyDescent="0.25">
      <c r="A264" t="s">
        <v>273</v>
      </c>
      <c r="B264" s="4">
        <v>44989</v>
      </c>
      <c r="D264">
        <v>56</v>
      </c>
      <c r="E264" t="s">
        <v>911</v>
      </c>
      <c r="F264" t="s">
        <v>916</v>
      </c>
      <c r="G264" t="s">
        <v>921</v>
      </c>
      <c r="H264">
        <v>5596.02</v>
      </c>
      <c r="I264">
        <v>9</v>
      </c>
      <c r="J264">
        <v>40</v>
      </c>
      <c r="K264" t="s">
        <v>923</v>
      </c>
      <c r="L264" t="str">
        <f>IF(ISBLANK(Table1[[#This Row],[CancelDate]]),"Active","Churned")</f>
        <v>Active</v>
      </c>
      <c r="M264">
        <f ca="1">IF(ISBLANK(Table1[[#This Row],[CancelDate]]),DATEDIF(Table1[[#This Row],[JoinDate]],TODAY(),"M"),DATEDIF(Table1[[#This Row],[JoinDate]],Table1[[#This Row],[CancelDate]],"M"))</f>
        <v>36</v>
      </c>
      <c r="N264" t="str">
        <f>IF(Table1[[#This Row],[EngagementScore]]&lt;=40,"Low",IF(Table1[[#This Row],[EngagementScore]]&lt;=70,"Medium","High"))</f>
        <v>Low</v>
      </c>
      <c r="O264" t="str">
        <f>IF(Table1[[#This Row],[Age]]&lt;25,"18-24",
IF(Table1[[#This Row],[Age]]&lt;35,"25-34",
IF(Table1[[#This Row],[Age]]&lt;45,"35-44","45+")))</f>
        <v>45+</v>
      </c>
    </row>
    <row r="265" spans="1:15" x14ac:dyDescent="0.25">
      <c r="A265" t="s">
        <v>274</v>
      </c>
      <c r="B265" s="4">
        <v>45079</v>
      </c>
      <c r="D265">
        <v>31</v>
      </c>
      <c r="E265" t="s">
        <v>912</v>
      </c>
      <c r="F265" t="s">
        <v>914</v>
      </c>
      <c r="G265" t="s">
        <v>922</v>
      </c>
      <c r="H265">
        <v>2242.14</v>
      </c>
      <c r="I265">
        <v>3</v>
      </c>
      <c r="J265">
        <v>23</v>
      </c>
      <c r="K265" t="s">
        <v>925</v>
      </c>
      <c r="L265" t="str">
        <f>IF(ISBLANK(Table1[[#This Row],[CancelDate]]),"Active","Churned")</f>
        <v>Active</v>
      </c>
      <c r="M265">
        <f ca="1">IF(ISBLANK(Table1[[#This Row],[CancelDate]]),DATEDIF(Table1[[#This Row],[JoinDate]],TODAY(),"M"),DATEDIF(Table1[[#This Row],[JoinDate]],Table1[[#This Row],[CancelDate]],"M"))</f>
        <v>34</v>
      </c>
      <c r="N265" t="str">
        <f>IF(Table1[[#This Row],[EngagementScore]]&lt;=40,"Low",IF(Table1[[#This Row],[EngagementScore]]&lt;=70,"Medium","High"))</f>
        <v>Low</v>
      </c>
      <c r="O265" t="str">
        <f>IF(Table1[[#This Row],[Age]]&lt;25,"18-24",
IF(Table1[[#This Row],[Age]]&lt;35,"25-34",
IF(Table1[[#This Row],[Age]]&lt;45,"35-44","45+")))</f>
        <v>25-34</v>
      </c>
    </row>
    <row r="266" spans="1:15" x14ac:dyDescent="0.25">
      <c r="A266" t="s">
        <v>275</v>
      </c>
      <c r="B266" s="4">
        <v>44706</v>
      </c>
      <c r="D266">
        <v>31</v>
      </c>
      <c r="E266" t="s">
        <v>912</v>
      </c>
      <c r="F266" t="s">
        <v>915</v>
      </c>
      <c r="G266" t="s">
        <v>922</v>
      </c>
      <c r="H266">
        <v>2747.77</v>
      </c>
      <c r="I266">
        <v>4</v>
      </c>
      <c r="J266">
        <v>15</v>
      </c>
      <c r="K266" t="s">
        <v>925</v>
      </c>
      <c r="L266" t="str">
        <f>IF(ISBLANK(Table1[[#This Row],[CancelDate]]),"Active","Churned")</f>
        <v>Active</v>
      </c>
      <c r="M266">
        <f ca="1">IF(ISBLANK(Table1[[#This Row],[CancelDate]]),DATEDIF(Table1[[#This Row],[JoinDate]],TODAY(),"M"),DATEDIF(Table1[[#This Row],[JoinDate]],Table1[[#This Row],[CancelDate]],"M"))</f>
        <v>46</v>
      </c>
      <c r="N266" t="str">
        <f>IF(Table1[[#This Row],[EngagementScore]]&lt;=40,"Low",IF(Table1[[#This Row],[EngagementScore]]&lt;=70,"Medium","High"))</f>
        <v>Low</v>
      </c>
      <c r="O266" t="str">
        <f>IF(Table1[[#This Row],[Age]]&lt;25,"18-24",
IF(Table1[[#This Row],[Age]]&lt;35,"25-34",
IF(Table1[[#This Row],[Age]]&lt;45,"35-44","45+")))</f>
        <v>25-34</v>
      </c>
    </row>
    <row r="267" spans="1:15" x14ac:dyDescent="0.25">
      <c r="A267" t="s">
        <v>276</v>
      </c>
      <c r="B267" s="4">
        <v>44573</v>
      </c>
      <c r="D267">
        <v>42</v>
      </c>
      <c r="E267" t="s">
        <v>911</v>
      </c>
      <c r="F267" t="s">
        <v>918</v>
      </c>
      <c r="G267" t="s">
        <v>921</v>
      </c>
      <c r="H267">
        <v>28791.27</v>
      </c>
      <c r="I267">
        <v>23</v>
      </c>
      <c r="J267">
        <v>82</v>
      </c>
      <c r="K267" t="s">
        <v>923</v>
      </c>
      <c r="L267" t="str">
        <f>IF(ISBLANK(Table1[[#This Row],[CancelDate]]),"Active","Churned")</f>
        <v>Active</v>
      </c>
      <c r="M267">
        <f ca="1">IF(ISBLANK(Table1[[#This Row],[CancelDate]]),DATEDIF(Table1[[#This Row],[JoinDate]],TODAY(),"M"),DATEDIF(Table1[[#This Row],[JoinDate]],Table1[[#This Row],[CancelDate]],"M"))</f>
        <v>50</v>
      </c>
      <c r="N267" t="str">
        <f>IF(Table1[[#This Row],[EngagementScore]]&lt;=40,"Low",IF(Table1[[#This Row],[EngagementScore]]&lt;=70,"Medium","High"))</f>
        <v>High</v>
      </c>
      <c r="O267" t="str">
        <f>IF(Table1[[#This Row],[Age]]&lt;25,"18-24",
IF(Table1[[#This Row],[Age]]&lt;35,"25-34",
IF(Table1[[#This Row],[Age]]&lt;45,"35-44","45+")))</f>
        <v>35-44</v>
      </c>
    </row>
    <row r="268" spans="1:15" x14ac:dyDescent="0.25">
      <c r="A268" t="s">
        <v>277</v>
      </c>
      <c r="B268" s="4">
        <v>45436</v>
      </c>
      <c r="D268">
        <v>32</v>
      </c>
      <c r="E268" t="s">
        <v>912</v>
      </c>
      <c r="F268" t="s">
        <v>915</v>
      </c>
      <c r="G268" t="s">
        <v>921</v>
      </c>
      <c r="H268">
        <v>11426.12</v>
      </c>
      <c r="I268">
        <v>13</v>
      </c>
      <c r="J268">
        <v>64</v>
      </c>
      <c r="K268" t="s">
        <v>923</v>
      </c>
      <c r="L268" t="str">
        <f>IF(ISBLANK(Table1[[#This Row],[CancelDate]]),"Active","Churned")</f>
        <v>Active</v>
      </c>
      <c r="M268">
        <f ca="1">IF(ISBLANK(Table1[[#This Row],[CancelDate]]),DATEDIF(Table1[[#This Row],[JoinDate]],TODAY(),"M"),DATEDIF(Table1[[#This Row],[JoinDate]],Table1[[#This Row],[CancelDate]],"M"))</f>
        <v>22</v>
      </c>
      <c r="N268" t="str">
        <f>IF(Table1[[#This Row],[EngagementScore]]&lt;=40,"Low",IF(Table1[[#This Row],[EngagementScore]]&lt;=70,"Medium","High"))</f>
        <v>Medium</v>
      </c>
      <c r="O268" t="str">
        <f>IF(Table1[[#This Row],[Age]]&lt;25,"18-24",
IF(Table1[[#This Row],[Age]]&lt;35,"25-34",
IF(Table1[[#This Row],[Age]]&lt;45,"35-44","45+")))</f>
        <v>25-34</v>
      </c>
    </row>
    <row r="269" spans="1:15" x14ac:dyDescent="0.25">
      <c r="A269" t="s">
        <v>278</v>
      </c>
      <c r="B269" s="4">
        <v>44722</v>
      </c>
      <c r="D269">
        <v>34</v>
      </c>
      <c r="E269" t="s">
        <v>912</v>
      </c>
      <c r="F269" t="s">
        <v>918</v>
      </c>
      <c r="G269" t="s">
        <v>922</v>
      </c>
      <c r="H269">
        <v>13101.45</v>
      </c>
      <c r="I269">
        <v>15</v>
      </c>
      <c r="J269">
        <v>83</v>
      </c>
      <c r="K269" t="s">
        <v>923</v>
      </c>
      <c r="L269" t="str">
        <f>IF(ISBLANK(Table1[[#This Row],[CancelDate]]),"Active","Churned")</f>
        <v>Active</v>
      </c>
      <c r="M269">
        <f ca="1">IF(ISBLANK(Table1[[#This Row],[CancelDate]]),DATEDIF(Table1[[#This Row],[JoinDate]],TODAY(),"M"),DATEDIF(Table1[[#This Row],[JoinDate]],Table1[[#This Row],[CancelDate]],"M"))</f>
        <v>45</v>
      </c>
      <c r="N269" t="str">
        <f>IF(Table1[[#This Row],[EngagementScore]]&lt;=40,"Low",IF(Table1[[#This Row],[EngagementScore]]&lt;=70,"Medium","High"))</f>
        <v>High</v>
      </c>
      <c r="O269" t="str">
        <f>IF(Table1[[#This Row],[Age]]&lt;25,"18-24",
IF(Table1[[#This Row],[Age]]&lt;35,"25-34",
IF(Table1[[#This Row],[Age]]&lt;45,"35-44","45+")))</f>
        <v>25-34</v>
      </c>
    </row>
    <row r="270" spans="1:15" x14ac:dyDescent="0.25">
      <c r="A270" t="s">
        <v>279</v>
      </c>
      <c r="B270" s="4">
        <v>45370</v>
      </c>
      <c r="D270">
        <v>24</v>
      </c>
      <c r="E270" t="s">
        <v>911</v>
      </c>
      <c r="F270" t="s">
        <v>917</v>
      </c>
      <c r="G270" t="s">
        <v>921</v>
      </c>
      <c r="H270">
        <v>22702.93</v>
      </c>
      <c r="I270">
        <v>24</v>
      </c>
      <c r="J270">
        <v>93</v>
      </c>
      <c r="K270" t="s">
        <v>923</v>
      </c>
      <c r="L270" t="str">
        <f>IF(ISBLANK(Table1[[#This Row],[CancelDate]]),"Active","Churned")</f>
        <v>Active</v>
      </c>
      <c r="M270">
        <f ca="1">IF(ISBLANK(Table1[[#This Row],[CancelDate]]),DATEDIF(Table1[[#This Row],[JoinDate]],TODAY(),"M"),DATEDIF(Table1[[#This Row],[JoinDate]],Table1[[#This Row],[CancelDate]],"M"))</f>
        <v>24</v>
      </c>
      <c r="N270" t="str">
        <f>IF(Table1[[#This Row],[EngagementScore]]&lt;=40,"Low",IF(Table1[[#This Row],[EngagementScore]]&lt;=70,"Medium","High"))</f>
        <v>High</v>
      </c>
      <c r="O270" t="str">
        <f>IF(Table1[[#This Row],[Age]]&lt;25,"18-24",
IF(Table1[[#This Row],[Age]]&lt;35,"25-34",
IF(Table1[[#This Row],[Age]]&lt;45,"35-44","45+")))</f>
        <v>18-24</v>
      </c>
    </row>
    <row r="271" spans="1:15" x14ac:dyDescent="0.25">
      <c r="A271" t="s">
        <v>280</v>
      </c>
      <c r="B271" s="4">
        <v>45110</v>
      </c>
      <c r="D271">
        <v>46</v>
      </c>
      <c r="E271" t="s">
        <v>911</v>
      </c>
      <c r="F271" t="s">
        <v>917</v>
      </c>
      <c r="G271" t="s">
        <v>921</v>
      </c>
      <c r="H271">
        <v>5294.08</v>
      </c>
      <c r="I271">
        <v>11</v>
      </c>
      <c r="J271">
        <v>67</v>
      </c>
      <c r="K271" t="s">
        <v>925</v>
      </c>
      <c r="L271" t="str">
        <f>IF(ISBLANK(Table1[[#This Row],[CancelDate]]),"Active","Churned")</f>
        <v>Active</v>
      </c>
      <c r="M271">
        <f ca="1">IF(ISBLANK(Table1[[#This Row],[CancelDate]]),DATEDIF(Table1[[#This Row],[JoinDate]],TODAY(),"M"),DATEDIF(Table1[[#This Row],[JoinDate]],Table1[[#This Row],[CancelDate]],"M"))</f>
        <v>32</v>
      </c>
      <c r="N271" t="str">
        <f>IF(Table1[[#This Row],[EngagementScore]]&lt;=40,"Low",IF(Table1[[#This Row],[EngagementScore]]&lt;=70,"Medium","High"))</f>
        <v>Medium</v>
      </c>
      <c r="O271" t="str">
        <f>IF(Table1[[#This Row],[Age]]&lt;25,"18-24",
IF(Table1[[#This Row],[Age]]&lt;35,"25-34",
IF(Table1[[#This Row],[Age]]&lt;45,"35-44","45+")))</f>
        <v>45+</v>
      </c>
    </row>
    <row r="272" spans="1:15" x14ac:dyDescent="0.25">
      <c r="A272" t="s">
        <v>281</v>
      </c>
      <c r="B272" s="4">
        <v>44631</v>
      </c>
      <c r="D272">
        <v>56</v>
      </c>
      <c r="E272" t="s">
        <v>911</v>
      </c>
      <c r="F272" t="s">
        <v>919</v>
      </c>
      <c r="G272" t="s">
        <v>921</v>
      </c>
      <c r="H272">
        <v>10963.49</v>
      </c>
      <c r="I272">
        <v>5</v>
      </c>
      <c r="J272">
        <v>43</v>
      </c>
      <c r="K272" t="s">
        <v>925</v>
      </c>
      <c r="L272" t="str">
        <f>IF(ISBLANK(Table1[[#This Row],[CancelDate]]),"Active","Churned")</f>
        <v>Active</v>
      </c>
      <c r="M272">
        <f ca="1">IF(ISBLANK(Table1[[#This Row],[CancelDate]]),DATEDIF(Table1[[#This Row],[JoinDate]],TODAY(),"M"),DATEDIF(Table1[[#This Row],[JoinDate]],Table1[[#This Row],[CancelDate]],"M"))</f>
        <v>48</v>
      </c>
      <c r="N272" t="str">
        <f>IF(Table1[[#This Row],[EngagementScore]]&lt;=40,"Low",IF(Table1[[#This Row],[EngagementScore]]&lt;=70,"Medium","High"))</f>
        <v>Medium</v>
      </c>
      <c r="O272" t="str">
        <f>IF(Table1[[#This Row],[Age]]&lt;25,"18-24",
IF(Table1[[#This Row],[Age]]&lt;35,"25-34",
IF(Table1[[#This Row],[Age]]&lt;45,"35-44","45+")))</f>
        <v>45+</v>
      </c>
    </row>
    <row r="273" spans="1:15" x14ac:dyDescent="0.25">
      <c r="A273" t="s">
        <v>282</v>
      </c>
      <c r="B273" s="4">
        <v>44925</v>
      </c>
      <c r="D273">
        <v>22</v>
      </c>
      <c r="E273" t="s">
        <v>911</v>
      </c>
      <c r="F273" t="s">
        <v>916</v>
      </c>
      <c r="G273" t="s">
        <v>922</v>
      </c>
      <c r="H273">
        <v>9942.85</v>
      </c>
      <c r="I273">
        <v>5</v>
      </c>
      <c r="J273">
        <v>46</v>
      </c>
      <c r="K273" t="s">
        <v>925</v>
      </c>
      <c r="L273" t="str">
        <f>IF(ISBLANK(Table1[[#This Row],[CancelDate]]),"Active","Churned")</f>
        <v>Active</v>
      </c>
      <c r="M273">
        <f ca="1">IF(ISBLANK(Table1[[#This Row],[CancelDate]]),DATEDIF(Table1[[#This Row],[JoinDate]],TODAY(),"M"),DATEDIF(Table1[[#This Row],[JoinDate]],Table1[[#This Row],[CancelDate]],"M"))</f>
        <v>39</v>
      </c>
      <c r="N273" t="str">
        <f>IF(Table1[[#This Row],[EngagementScore]]&lt;=40,"Low",IF(Table1[[#This Row],[EngagementScore]]&lt;=70,"Medium","High"))</f>
        <v>Medium</v>
      </c>
      <c r="O273" t="str">
        <f>IF(Table1[[#This Row],[Age]]&lt;25,"18-24",
IF(Table1[[#This Row],[Age]]&lt;35,"25-34",
IF(Table1[[#This Row],[Age]]&lt;45,"35-44","45+")))</f>
        <v>18-24</v>
      </c>
    </row>
    <row r="274" spans="1:15" x14ac:dyDescent="0.25">
      <c r="A274" t="s">
        <v>283</v>
      </c>
      <c r="B274" s="4">
        <v>45167</v>
      </c>
      <c r="D274">
        <v>57</v>
      </c>
      <c r="E274" t="s">
        <v>911</v>
      </c>
      <c r="F274" t="s">
        <v>919</v>
      </c>
      <c r="G274" t="s">
        <v>921</v>
      </c>
      <c r="H274">
        <v>12355.41</v>
      </c>
      <c r="I274">
        <v>8</v>
      </c>
      <c r="J274">
        <v>55</v>
      </c>
      <c r="K274" t="s">
        <v>923</v>
      </c>
      <c r="L274" t="str">
        <f>IF(ISBLANK(Table1[[#This Row],[CancelDate]]),"Active","Churned")</f>
        <v>Active</v>
      </c>
      <c r="M274">
        <f ca="1">IF(ISBLANK(Table1[[#This Row],[CancelDate]]),DATEDIF(Table1[[#This Row],[JoinDate]],TODAY(),"M"),DATEDIF(Table1[[#This Row],[JoinDate]],Table1[[#This Row],[CancelDate]],"M"))</f>
        <v>31</v>
      </c>
      <c r="N274" t="str">
        <f>IF(Table1[[#This Row],[EngagementScore]]&lt;=40,"Low",IF(Table1[[#This Row],[EngagementScore]]&lt;=70,"Medium","High"))</f>
        <v>Medium</v>
      </c>
      <c r="O274" t="str">
        <f>IF(Table1[[#This Row],[Age]]&lt;25,"18-24",
IF(Table1[[#This Row],[Age]]&lt;35,"25-34",
IF(Table1[[#This Row],[Age]]&lt;45,"35-44","45+")))</f>
        <v>45+</v>
      </c>
    </row>
    <row r="275" spans="1:15" x14ac:dyDescent="0.25">
      <c r="A275" t="s">
        <v>284</v>
      </c>
      <c r="B275" s="4">
        <v>44611</v>
      </c>
      <c r="D275">
        <v>21</v>
      </c>
      <c r="E275" t="s">
        <v>912</v>
      </c>
      <c r="F275" t="s">
        <v>919</v>
      </c>
      <c r="G275" t="s">
        <v>921</v>
      </c>
      <c r="H275">
        <v>29585.22</v>
      </c>
      <c r="I275">
        <v>28</v>
      </c>
      <c r="J275">
        <v>94</v>
      </c>
      <c r="K275" t="s">
        <v>925</v>
      </c>
      <c r="L275" t="str">
        <f>IF(ISBLANK(Table1[[#This Row],[CancelDate]]),"Active","Churned")</f>
        <v>Active</v>
      </c>
      <c r="M275">
        <f ca="1">IF(ISBLANK(Table1[[#This Row],[CancelDate]]),DATEDIF(Table1[[#This Row],[JoinDate]],TODAY(),"M"),DATEDIF(Table1[[#This Row],[JoinDate]],Table1[[#This Row],[CancelDate]],"M"))</f>
        <v>49</v>
      </c>
      <c r="N275" t="str">
        <f>IF(Table1[[#This Row],[EngagementScore]]&lt;=40,"Low",IF(Table1[[#This Row],[EngagementScore]]&lt;=70,"Medium","High"))</f>
        <v>High</v>
      </c>
      <c r="O275" t="str">
        <f>IF(Table1[[#This Row],[Age]]&lt;25,"18-24",
IF(Table1[[#This Row],[Age]]&lt;35,"25-34",
IF(Table1[[#This Row],[Age]]&lt;45,"35-44","45+")))</f>
        <v>18-24</v>
      </c>
    </row>
    <row r="276" spans="1:15" x14ac:dyDescent="0.25">
      <c r="A276" t="s">
        <v>285</v>
      </c>
      <c r="B276" s="4">
        <v>45391</v>
      </c>
      <c r="C276" s="1">
        <v>45421</v>
      </c>
      <c r="D276">
        <v>37</v>
      </c>
      <c r="E276" t="s">
        <v>911</v>
      </c>
      <c r="F276" t="s">
        <v>917</v>
      </c>
      <c r="G276" t="s">
        <v>922</v>
      </c>
      <c r="H276">
        <v>14093.48</v>
      </c>
      <c r="I276">
        <v>13</v>
      </c>
      <c r="J276">
        <v>54</v>
      </c>
      <c r="K276" t="s">
        <v>925</v>
      </c>
      <c r="L276" t="str">
        <f>IF(ISBLANK(Table1[[#This Row],[CancelDate]]),"Active","Churned")</f>
        <v>Churned</v>
      </c>
      <c r="M276">
        <f ca="1">IF(ISBLANK(Table1[[#This Row],[CancelDate]]),DATEDIF(Table1[[#This Row],[JoinDate]],TODAY(),"M"),DATEDIF(Table1[[#This Row],[JoinDate]],Table1[[#This Row],[CancelDate]],"M"))</f>
        <v>1</v>
      </c>
      <c r="N276" t="str">
        <f>IF(Table1[[#This Row],[EngagementScore]]&lt;=40,"Low",IF(Table1[[#This Row],[EngagementScore]]&lt;=70,"Medium","High"))</f>
        <v>Medium</v>
      </c>
      <c r="O276" t="str">
        <f>IF(Table1[[#This Row],[Age]]&lt;25,"18-24",
IF(Table1[[#This Row],[Age]]&lt;35,"25-34",
IF(Table1[[#This Row],[Age]]&lt;45,"35-44","45+")))</f>
        <v>35-44</v>
      </c>
    </row>
    <row r="277" spans="1:15" x14ac:dyDescent="0.25">
      <c r="A277" t="s">
        <v>286</v>
      </c>
      <c r="B277" s="4">
        <v>44928</v>
      </c>
      <c r="C277" s="1">
        <v>45249</v>
      </c>
      <c r="D277">
        <v>29</v>
      </c>
      <c r="E277" t="s">
        <v>912</v>
      </c>
      <c r="F277" t="s">
        <v>914</v>
      </c>
      <c r="G277" t="s">
        <v>922</v>
      </c>
      <c r="H277">
        <v>7013.01</v>
      </c>
      <c r="I277">
        <v>1</v>
      </c>
      <c r="J277">
        <v>12</v>
      </c>
      <c r="K277" t="s">
        <v>925</v>
      </c>
      <c r="L277" t="str">
        <f>IF(ISBLANK(Table1[[#This Row],[CancelDate]]),"Active","Churned")</f>
        <v>Churned</v>
      </c>
      <c r="M277">
        <f ca="1">IF(ISBLANK(Table1[[#This Row],[CancelDate]]),DATEDIF(Table1[[#This Row],[JoinDate]],TODAY(),"M"),DATEDIF(Table1[[#This Row],[JoinDate]],Table1[[#This Row],[CancelDate]],"M"))</f>
        <v>10</v>
      </c>
      <c r="N277" t="str">
        <f>IF(Table1[[#This Row],[EngagementScore]]&lt;=40,"Low",IF(Table1[[#This Row],[EngagementScore]]&lt;=70,"Medium","High"))</f>
        <v>Low</v>
      </c>
      <c r="O277" t="str">
        <f>IF(Table1[[#This Row],[Age]]&lt;25,"18-24",
IF(Table1[[#This Row],[Age]]&lt;35,"25-34",
IF(Table1[[#This Row],[Age]]&lt;45,"35-44","45+")))</f>
        <v>25-34</v>
      </c>
    </row>
    <row r="278" spans="1:15" x14ac:dyDescent="0.25">
      <c r="A278" t="s">
        <v>287</v>
      </c>
      <c r="B278" s="4">
        <v>45052</v>
      </c>
      <c r="C278" s="1">
        <v>45111</v>
      </c>
      <c r="D278">
        <v>48</v>
      </c>
      <c r="E278" t="s">
        <v>912</v>
      </c>
      <c r="F278" t="s">
        <v>914</v>
      </c>
      <c r="G278" t="s">
        <v>921</v>
      </c>
      <c r="H278">
        <v>3244.58</v>
      </c>
      <c r="I278">
        <v>4</v>
      </c>
      <c r="J278">
        <v>11</v>
      </c>
      <c r="K278" t="s">
        <v>925</v>
      </c>
      <c r="L278" t="str">
        <f>IF(ISBLANK(Table1[[#This Row],[CancelDate]]),"Active","Churned")</f>
        <v>Churned</v>
      </c>
      <c r="M278">
        <f ca="1">IF(ISBLANK(Table1[[#This Row],[CancelDate]]),DATEDIF(Table1[[#This Row],[JoinDate]],TODAY(),"M"),DATEDIF(Table1[[#This Row],[JoinDate]],Table1[[#This Row],[CancelDate]],"M"))</f>
        <v>1</v>
      </c>
      <c r="N278" t="str">
        <f>IF(Table1[[#This Row],[EngagementScore]]&lt;=40,"Low",IF(Table1[[#This Row],[EngagementScore]]&lt;=70,"Medium","High"))</f>
        <v>Low</v>
      </c>
      <c r="O278" t="str">
        <f>IF(Table1[[#This Row],[Age]]&lt;25,"18-24",
IF(Table1[[#This Row],[Age]]&lt;35,"25-34",
IF(Table1[[#This Row],[Age]]&lt;45,"35-44","45+")))</f>
        <v>45+</v>
      </c>
    </row>
    <row r="279" spans="1:15" x14ac:dyDescent="0.25">
      <c r="A279" t="s">
        <v>288</v>
      </c>
      <c r="B279" s="4">
        <v>44998</v>
      </c>
      <c r="C279" s="1">
        <v>45273</v>
      </c>
      <c r="D279">
        <v>54</v>
      </c>
      <c r="E279" t="s">
        <v>911</v>
      </c>
      <c r="F279" t="s">
        <v>918</v>
      </c>
      <c r="G279" t="s">
        <v>921</v>
      </c>
      <c r="H279">
        <v>5961.16</v>
      </c>
      <c r="I279">
        <v>2</v>
      </c>
      <c r="J279">
        <v>34</v>
      </c>
      <c r="K279" t="s">
        <v>924</v>
      </c>
      <c r="L279" t="str">
        <f>IF(ISBLANK(Table1[[#This Row],[CancelDate]]),"Active","Churned")</f>
        <v>Churned</v>
      </c>
      <c r="M279">
        <f ca="1">IF(ISBLANK(Table1[[#This Row],[CancelDate]]),DATEDIF(Table1[[#This Row],[JoinDate]],TODAY(),"M"),DATEDIF(Table1[[#This Row],[JoinDate]],Table1[[#This Row],[CancelDate]],"M"))</f>
        <v>9</v>
      </c>
      <c r="N279" t="str">
        <f>IF(Table1[[#This Row],[EngagementScore]]&lt;=40,"Low",IF(Table1[[#This Row],[EngagementScore]]&lt;=70,"Medium","High"))</f>
        <v>Low</v>
      </c>
      <c r="O279" t="str">
        <f>IF(Table1[[#This Row],[Age]]&lt;25,"18-24",
IF(Table1[[#This Row],[Age]]&lt;35,"25-34",
IF(Table1[[#This Row],[Age]]&lt;45,"35-44","45+")))</f>
        <v>45+</v>
      </c>
    </row>
    <row r="280" spans="1:15" x14ac:dyDescent="0.25">
      <c r="A280" t="s">
        <v>289</v>
      </c>
      <c r="B280" s="4">
        <v>45297</v>
      </c>
      <c r="D280">
        <v>34</v>
      </c>
      <c r="E280" t="s">
        <v>912</v>
      </c>
      <c r="F280" t="s">
        <v>916</v>
      </c>
      <c r="G280" t="s">
        <v>921</v>
      </c>
      <c r="H280">
        <v>12323.64</v>
      </c>
      <c r="I280">
        <v>11</v>
      </c>
      <c r="J280">
        <v>51</v>
      </c>
      <c r="K280" t="s">
        <v>925</v>
      </c>
      <c r="L280" t="str">
        <f>IF(ISBLANK(Table1[[#This Row],[CancelDate]]),"Active","Churned")</f>
        <v>Active</v>
      </c>
      <c r="M280">
        <f ca="1">IF(ISBLANK(Table1[[#This Row],[CancelDate]]),DATEDIF(Table1[[#This Row],[JoinDate]],TODAY(),"M"),DATEDIF(Table1[[#This Row],[JoinDate]],Table1[[#This Row],[CancelDate]],"M"))</f>
        <v>26</v>
      </c>
      <c r="N280" t="str">
        <f>IF(Table1[[#This Row],[EngagementScore]]&lt;=40,"Low",IF(Table1[[#This Row],[EngagementScore]]&lt;=70,"Medium","High"))</f>
        <v>Medium</v>
      </c>
      <c r="O280" t="str">
        <f>IF(Table1[[#This Row],[Age]]&lt;25,"18-24",
IF(Table1[[#This Row],[Age]]&lt;35,"25-34",
IF(Table1[[#This Row],[Age]]&lt;45,"35-44","45+")))</f>
        <v>25-34</v>
      </c>
    </row>
    <row r="281" spans="1:15" x14ac:dyDescent="0.25">
      <c r="A281" t="s">
        <v>290</v>
      </c>
      <c r="B281" s="4">
        <v>45209</v>
      </c>
      <c r="D281">
        <v>20</v>
      </c>
      <c r="E281" t="s">
        <v>912</v>
      </c>
      <c r="F281" t="s">
        <v>917</v>
      </c>
      <c r="G281" t="s">
        <v>921</v>
      </c>
      <c r="H281">
        <v>23110.21</v>
      </c>
      <c r="I281">
        <v>19</v>
      </c>
      <c r="J281">
        <v>71</v>
      </c>
      <c r="K281" t="s">
        <v>924</v>
      </c>
      <c r="L281" t="str">
        <f>IF(ISBLANK(Table1[[#This Row],[CancelDate]]),"Active","Churned")</f>
        <v>Active</v>
      </c>
      <c r="M281">
        <f ca="1">IF(ISBLANK(Table1[[#This Row],[CancelDate]]),DATEDIF(Table1[[#This Row],[JoinDate]],TODAY(),"M"),DATEDIF(Table1[[#This Row],[JoinDate]],Table1[[#This Row],[CancelDate]],"M"))</f>
        <v>29</v>
      </c>
      <c r="N281" t="str">
        <f>IF(Table1[[#This Row],[EngagementScore]]&lt;=40,"Low",IF(Table1[[#This Row],[EngagementScore]]&lt;=70,"Medium","High"))</f>
        <v>High</v>
      </c>
      <c r="O281" t="str">
        <f>IF(Table1[[#This Row],[Age]]&lt;25,"18-24",
IF(Table1[[#This Row],[Age]]&lt;35,"25-34",
IF(Table1[[#This Row],[Age]]&lt;45,"35-44","45+")))</f>
        <v>18-24</v>
      </c>
    </row>
    <row r="282" spans="1:15" x14ac:dyDescent="0.25">
      <c r="A282" t="s">
        <v>291</v>
      </c>
      <c r="B282" s="4">
        <v>44654</v>
      </c>
      <c r="D282">
        <v>28</v>
      </c>
      <c r="E282" t="s">
        <v>912</v>
      </c>
      <c r="F282" t="s">
        <v>919</v>
      </c>
      <c r="G282" t="s">
        <v>922</v>
      </c>
      <c r="H282">
        <v>2269.2600000000002</v>
      </c>
      <c r="I282">
        <v>4</v>
      </c>
      <c r="J282">
        <v>30</v>
      </c>
      <c r="K282" t="s">
        <v>923</v>
      </c>
      <c r="L282" t="str">
        <f>IF(ISBLANK(Table1[[#This Row],[CancelDate]]),"Active","Churned")</f>
        <v>Active</v>
      </c>
      <c r="M282">
        <f ca="1">IF(ISBLANK(Table1[[#This Row],[CancelDate]]),DATEDIF(Table1[[#This Row],[JoinDate]],TODAY(),"M"),DATEDIF(Table1[[#This Row],[JoinDate]],Table1[[#This Row],[CancelDate]],"M"))</f>
        <v>47</v>
      </c>
      <c r="N282" t="str">
        <f>IF(Table1[[#This Row],[EngagementScore]]&lt;=40,"Low",IF(Table1[[#This Row],[EngagementScore]]&lt;=70,"Medium","High"))</f>
        <v>Low</v>
      </c>
      <c r="O282" t="str">
        <f>IF(Table1[[#This Row],[Age]]&lt;25,"18-24",
IF(Table1[[#This Row],[Age]]&lt;35,"25-34",
IF(Table1[[#This Row],[Age]]&lt;45,"35-44","45+")))</f>
        <v>25-34</v>
      </c>
    </row>
    <row r="283" spans="1:15" x14ac:dyDescent="0.25">
      <c r="A283" t="s">
        <v>292</v>
      </c>
      <c r="B283" s="4">
        <v>45057</v>
      </c>
      <c r="D283">
        <v>26</v>
      </c>
      <c r="E283" t="s">
        <v>912</v>
      </c>
      <c r="F283" t="s">
        <v>915</v>
      </c>
      <c r="G283" t="s">
        <v>921</v>
      </c>
      <c r="H283">
        <v>17020.55</v>
      </c>
      <c r="I283">
        <v>26</v>
      </c>
      <c r="J283">
        <v>93</v>
      </c>
      <c r="K283" t="s">
        <v>913</v>
      </c>
      <c r="L283" t="str">
        <f>IF(ISBLANK(Table1[[#This Row],[CancelDate]]),"Active","Churned")</f>
        <v>Active</v>
      </c>
      <c r="M283">
        <f ca="1">IF(ISBLANK(Table1[[#This Row],[CancelDate]]),DATEDIF(Table1[[#This Row],[JoinDate]],TODAY(),"M"),DATEDIF(Table1[[#This Row],[JoinDate]],Table1[[#This Row],[CancelDate]],"M"))</f>
        <v>34</v>
      </c>
      <c r="N283" t="str">
        <f>IF(Table1[[#This Row],[EngagementScore]]&lt;=40,"Low",IF(Table1[[#This Row],[EngagementScore]]&lt;=70,"Medium","High"))</f>
        <v>High</v>
      </c>
      <c r="O283" t="str">
        <f>IF(Table1[[#This Row],[Age]]&lt;25,"18-24",
IF(Table1[[#This Row],[Age]]&lt;35,"25-34",
IF(Table1[[#This Row],[Age]]&lt;45,"35-44","45+")))</f>
        <v>25-34</v>
      </c>
    </row>
    <row r="284" spans="1:15" x14ac:dyDescent="0.25">
      <c r="A284" t="s">
        <v>293</v>
      </c>
      <c r="B284" s="4">
        <v>45388</v>
      </c>
      <c r="D284">
        <v>58</v>
      </c>
      <c r="E284" t="s">
        <v>912</v>
      </c>
      <c r="F284" t="s">
        <v>915</v>
      </c>
      <c r="G284" t="s">
        <v>920</v>
      </c>
      <c r="H284">
        <v>6420.78</v>
      </c>
      <c r="I284">
        <v>7</v>
      </c>
      <c r="J284">
        <v>22</v>
      </c>
      <c r="K284" t="s">
        <v>925</v>
      </c>
      <c r="L284" t="str">
        <f>IF(ISBLANK(Table1[[#This Row],[CancelDate]]),"Active","Churned")</f>
        <v>Active</v>
      </c>
      <c r="M284">
        <f ca="1">IF(ISBLANK(Table1[[#This Row],[CancelDate]]),DATEDIF(Table1[[#This Row],[JoinDate]],TODAY(),"M"),DATEDIF(Table1[[#This Row],[JoinDate]],Table1[[#This Row],[CancelDate]],"M"))</f>
        <v>23</v>
      </c>
      <c r="N284" t="str">
        <f>IF(Table1[[#This Row],[EngagementScore]]&lt;=40,"Low",IF(Table1[[#This Row],[EngagementScore]]&lt;=70,"Medium","High"))</f>
        <v>Low</v>
      </c>
      <c r="O284" t="str">
        <f>IF(Table1[[#This Row],[Age]]&lt;25,"18-24",
IF(Table1[[#This Row],[Age]]&lt;35,"25-34",
IF(Table1[[#This Row],[Age]]&lt;45,"35-44","45+")))</f>
        <v>45+</v>
      </c>
    </row>
    <row r="285" spans="1:15" x14ac:dyDescent="0.25">
      <c r="A285" t="s">
        <v>294</v>
      </c>
      <c r="B285" s="4">
        <v>45252</v>
      </c>
      <c r="D285">
        <v>20</v>
      </c>
      <c r="E285" t="s">
        <v>912</v>
      </c>
      <c r="F285" t="s">
        <v>918</v>
      </c>
      <c r="G285" t="s">
        <v>922</v>
      </c>
      <c r="H285">
        <v>16360.69</v>
      </c>
      <c r="I285">
        <v>23</v>
      </c>
      <c r="J285">
        <v>81</v>
      </c>
      <c r="K285" t="s">
        <v>925</v>
      </c>
      <c r="L285" t="str">
        <f>IF(ISBLANK(Table1[[#This Row],[CancelDate]]),"Active","Churned")</f>
        <v>Active</v>
      </c>
      <c r="M285">
        <f ca="1">IF(ISBLANK(Table1[[#This Row],[CancelDate]]),DATEDIF(Table1[[#This Row],[JoinDate]],TODAY(),"M"),DATEDIF(Table1[[#This Row],[JoinDate]],Table1[[#This Row],[CancelDate]],"M"))</f>
        <v>28</v>
      </c>
      <c r="N285" t="str">
        <f>IF(Table1[[#This Row],[EngagementScore]]&lt;=40,"Low",IF(Table1[[#This Row],[EngagementScore]]&lt;=70,"Medium","High"))</f>
        <v>High</v>
      </c>
      <c r="O285" t="str">
        <f>IF(Table1[[#This Row],[Age]]&lt;25,"18-24",
IF(Table1[[#This Row],[Age]]&lt;35,"25-34",
IF(Table1[[#This Row],[Age]]&lt;45,"35-44","45+")))</f>
        <v>18-24</v>
      </c>
    </row>
    <row r="286" spans="1:15" x14ac:dyDescent="0.25">
      <c r="A286" t="s">
        <v>295</v>
      </c>
      <c r="B286" s="4">
        <v>45250</v>
      </c>
      <c r="D286">
        <v>49</v>
      </c>
      <c r="E286" t="s">
        <v>912</v>
      </c>
      <c r="F286" t="s">
        <v>916</v>
      </c>
      <c r="G286" t="s">
        <v>921</v>
      </c>
      <c r="H286">
        <v>8214.17</v>
      </c>
      <c r="I286">
        <v>13</v>
      </c>
      <c r="J286">
        <v>64</v>
      </c>
      <c r="K286" t="s">
        <v>925</v>
      </c>
      <c r="L286" t="str">
        <f>IF(ISBLANK(Table1[[#This Row],[CancelDate]]),"Active","Churned")</f>
        <v>Active</v>
      </c>
      <c r="M286">
        <f ca="1">IF(ISBLANK(Table1[[#This Row],[CancelDate]]),DATEDIF(Table1[[#This Row],[JoinDate]],TODAY(),"M"),DATEDIF(Table1[[#This Row],[JoinDate]],Table1[[#This Row],[CancelDate]],"M"))</f>
        <v>28</v>
      </c>
      <c r="N286" t="str">
        <f>IF(Table1[[#This Row],[EngagementScore]]&lt;=40,"Low",IF(Table1[[#This Row],[EngagementScore]]&lt;=70,"Medium","High"))</f>
        <v>Medium</v>
      </c>
      <c r="O286" t="str">
        <f>IF(Table1[[#This Row],[Age]]&lt;25,"18-24",
IF(Table1[[#This Row],[Age]]&lt;35,"25-34",
IF(Table1[[#This Row],[Age]]&lt;45,"35-44","45+")))</f>
        <v>45+</v>
      </c>
    </row>
    <row r="287" spans="1:15" x14ac:dyDescent="0.25">
      <c r="A287" t="s">
        <v>296</v>
      </c>
      <c r="B287" s="4">
        <v>45408</v>
      </c>
      <c r="C287" s="1">
        <v>45627</v>
      </c>
      <c r="D287">
        <v>23</v>
      </c>
      <c r="E287" t="s">
        <v>911</v>
      </c>
      <c r="F287" t="s">
        <v>917</v>
      </c>
      <c r="G287" t="s">
        <v>922</v>
      </c>
      <c r="H287">
        <v>4988.46</v>
      </c>
      <c r="I287">
        <v>4</v>
      </c>
      <c r="J287">
        <v>12</v>
      </c>
      <c r="K287" t="s">
        <v>923</v>
      </c>
      <c r="L287" t="str">
        <f>IF(ISBLANK(Table1[[#This Row],[CancelDate]]),"Active","Churned")</f>
        <v>Churned</v>
      </c>
      <c r="M287">
        <f ca="1">IF(ISBLANK(Table1[[#This Row],[CancelDate]]),DATEDIF(Table1[[#This Row],[JoinDate]],TODAY(),"M"),DATEDIF(Table1[[#This Row],[JoinDate]],Table1[[#This Row],[CancelDate]],"M"))</f>
        <v>7</v>
      </c>
      <c r="N287" t="str">
        <f>IF(Table1[[#This Row],[EngagementScore]]&lt;=40,"Low",IF(Table1[[#This Row],[EngagementScore]]&lt;=70,"Medium","High"))</f>
        <v>Low</v>
      </c>
      <c r="O287" t="str">
        <f>IF(Table1[[#This Row],[Age]]&lt;25,"18-24",
IF(Table1[[#This Row],[Age]]&lt;35,"25-34",
IF(Table1[[#This Row],[Age]]&lt;45,"35-44","45+")))</f>
        <v>18-24</v>
      </c>
    </row>
    <row r="288" spans="1:15" x14ac:dyDescent="0.25">
      <c r="A288" t="s">
        <v>297</v>
      </c>
      <c r="B288" s="4">
        <v>45121</v>
      </c>
      <c r="D288">
        <v>24</v>
      </c>
      <c r="E288" t="s">
        <v>912</v>
      </c>
      <c r="F288" t="s">
        <v>915</v>
      </c>
      <c r="G288" t="s">
        <v>921</v>
      </c>
      <c r="H288">
        <v>29869.05</v>
      </c>
      <c r="I288">
        <v>29</v>
      </c>
      <c r="J288">
        <v>74</v>
      </c>
      <c r="K288" t="s">
        <v>925</v>
      </c>
      <c r="L288" t="str">
        <f>IF(ISBLANK(Table1[[#This Row],[CancelDate]]),"Active","Churned")</f>
        <v>Active</v>
      </c>
      <c r="M288">
        <f ca="1">IF(ISBLANK(Table1[[#This Row],[CancelDate]]),DATEDIF(Table1[[#This Row],[JoinDate]],TODAY(),"M"),DATEDIF(Table1[[#This Row],[JoinDate]],Table1[[#This Row],[CancelDate]],"M"))</f>
        <v>32</v>
      </c>
      <c r="N288" t="str">
        <f>IF(Table1[[#This Row],[EngagementScore]]&lt;=40,"Low",IF(Table1[[#This Row],[EngagementScore]]&lt;=70,"Medium","High"))</f>
        <v>High</v>
      </c>
      <c r="O288" t="str">
        <f>IF(Table1[[#This Row],[Age]]&lt;25,"18-24",
IF(Table1[[#This Row],[Age]]&lt;35,"25-34",
IF(Table1[[#This Row],[Age]]&lt;45,"35-44","45+")))</f>
        <v>18-24</v>
      </c>
    </row>
    <row r="289" spans="1:15" x14ac:dyDescent="0.25">
      <c r="A289" t="s">
        <v>298</v>
      </c>
      <c r="B289" s="4">
        <v>45200</v>
      </c>
      <c r="D289">
        <v>26</v>
      </c>
      <c r="E289" t="s">
        <v>911</v>
      </c>
      <c r="F289" t="s">
        <v>916</v>
      </c>
      <c r="G289" t="s">
        <v>920</v>
      </c>
      <c r="H289">
        <v>5300.84</v>
      </c>
      <c r="I289">
        <v>6</v>
      </c>
      <c r="J289">
        <v>16</v>
      </c>
      <c r="K289" t="s">
        <v>923</v>
      </c>
      <c r="L289" t="str">
        <f>IF(ISBLANK(Table1[[#This Row],[CancelDate]]),"Active","Churned")</f>
        <v>Active</v>
      </c>
      <c r="M289">
        <f ca="1">IF(ISBLANK(Table1[[#This Row],[CancelDate]]),DATEDIF(Table1[[#This Row],[JoinDate]],TODAY(),"M"),DATEDIF(Table1[[#This Row],[JoinDate]],Table1[[#This Row],[CancelDate]],"M"))</f>
        <v>30</v>
      </c>
      <c r="N289" t="str">
        <f>IF(Table1[[#This Row],[EngagementScore]]&lt;=40,"Low",IF(Table1[[#This Row],[EngagementScore]]&lt;=70,"Medium","High"))</f>
        <v>Low</v>
      </c>
      <c r="O289" t="str">
        <f>IF(Table1[[#This Row],[Age]]&lt;25,"18-24",
IF(Table1[[#This Row],[Age]]&lt;35,"25-34",
IF(Table1[[#This Row],[Age]]&lt;45,"35-44","45+")))</f>
        <v>25-34</v>
      </c>
    </row>
    <row r="290" spans="1:15" x14ac:dyDescent="0.25">
      <c r="A290" t="s">
        <v>299</v>
      </c>
      <c r="B290" s="4">
        <v>45023</v>
      </c>
      <c r="C290" s="1">
        <v>45175</v>
      </c>
      <c r="D290">
        <v>50</v>
      </c>
      <c r="E290" t="s">
        <v>911</v>
      </c>
      <c r="F290" t="s">
        <v>918</v>
      </c>
      <c r="G290" t="s">
        <v>921</v>
      </c>
      <c r="H290">
        <v>13893.79</v>
      </c>
      <c r="I290">
        <v>12</v>
      </c>
      <c r="J290">
        <v>55</v>
      </c>
      <c r="K290" t="s">
        <v>925</v>
      </c>
      <c r="L290" t="str">
        <f>IF(ISBLANK(Table1[[#This Row],[CancelDate]]),"Active","Churned")</f>
        <v>Churned</v>
      </c>
      <c r="M290">
        <f ca="1">IF(ISBLANK(Table1[[#This Row],[CancelDate]]),DATEDIF(Table1[[#This Row],[JoinDate]],TODAY(),"M"),DATEDIF(Table1[[#This Row],[JoinDate]],Table1[[#This Row],[CancelDate]],"M"))</f>
        <v>4</v>
      </c>
      <c r="N290" t="str">
        <f>IF(Table1[[#This Row],[EngagementScore]]&lt;=40,"Low",IF(Table1[[#This Row],[EngagementScore]]&lt;=70,"Medium","High"))</f>
        <v>Medium</v>
      </c>
      <c r="O290" t="str">
        <f>IF(Table1[[#This Row],[Age]]&lt;25,"18-24",
IF(Table1[[#This Row],[Age]]&lt;35,"25-34",
IF(Table1[[#This Row],[Age]]&lt;45,"35-44","45+")))</f>
        <v>45+</v>
      </c>
    </row>
    <row r="291" spans="1:15" x14ac:dyDescent="0.25">
      <c r="A291" t="s">
        <v>300</v>
      </c>
      <c r="B291" s="4">
        <v>44773</v>
      </c>
      <c r="C291" s="1">
        <v>45012</v>
      </c>
      <c r="D291">
        <v>57</v>
      </c>
      <c r="E291" t="s">
        <v>912</v>
      </c>
      <c r="F291" t="s">
        <v>915</v>
      </c>
      <c r="G291" t="s">
        <v>921</v>
      </c>
      <c r="H291">
        <v>3834.34</v>
      </c>
      <c r="I291">
        <v>5</v>
      </c>
      <c r="J291">
        <v>28</v>
      </c>
      <c r="K291" t="s">
        <v>925</v>
      </c>
      <c r="L291" t="str">
        <f>IF(ISBLANK(Table1[[#This Row],[CancelDate]]),"Active","Churned")</f>
        <v>Churned</v>
      </c>
      <c r="M291">
        <f ca="1">IF(ISBLANK(Table1[[#This Row],[CancelDate]]),DATEDIF(Table1[[#This Row],[JoinDate]],TODAY(),"M"),DATEDIF(Table1[[#This Row],[JoinDate]],Table1[[#This Row],[CancelDate]],"M"))</f>
        <v>7</v>
      </c>
      <c r="N291" t="str">
        <f>IF(Table1[[#This Row],[EngagementScore]]&lt;=40,"Low",IF(Table1[[#This Row],[EngagementScore]]&lt;=70,"Medium","High"))</f>
        <v>Low</v>
      </c>
      <c r="O291" t="str">
        <f>IF(Table1[[#This Row],[Age]]&lt;25,"18-24",
IF(Table1[[#This Row],[Age]]&lt;35,"25-34",
IF(Table1[[#This Row],[Age]]&lt;45,"35-44","45+")))</f>
        <v>45+</v>
      </c>
    </row>
    <row r="292" spans="1:15" x14ac:dyDescent="0.25">
      <c r="A292" t="s">
        <v>301</v>
      </c>
      <c r="B292" s="4">
        <v>44667</v>
      </c>
      <c r="D292">
        <v>37</v>
      </c>
      <c r="E292" t="s">
        <v>912</v>
      </c>
      <c r="F292" t="s">
        <v>917</v>
      </c>
      <c r="G292" t="s">
        <v>920</v>
      </c>
      <c r="H292">
        <v>8176.77</v>
      </c>
      <c r="I292">
        <v>7</v>
      </c>
      <c r="J292">
        <v>53</v>
      </c>
      <c r="K292" t="s">
        <v>924</v>
      </c>
      <c r="L292" t="str">
        <f>IF(ISBLANK(Table1[[#This Row],[CancelDate]]),"Active","Churned")</f>
        <v>Active</v>
      </c>
      <c r="M292">
        <f ca="1">IF(ISBLANK(Table1[[#This Row],[CancelDate]]),DATEDIF(Table1[[#This Row],[JoinDate]],TODAY(),"M"),DATEDIF(Table1[[#This Row],[JoinDate]],Table1[[#This Row],[CancelDate]],"M"))</f>
        <v>47</v>
      </c>
      <c r="N292" t="str">
        <f>IF(Table1[[#This Row],[EngagementScore]]&lt;=40,"Low",IF(Table1[[#This Row],[EngagementScore]]&lt;=70,"Medium","High"))</f>
        <v>Medium</v>
      </c>
      <c r="O292" t="str">
        <f>IF(Table1[[#This Row],[Age]]&lt;25,"18-24",
IF(Table1[[#This Row],[Age]]&lt;35,"25-34",
IF(Table1[[#This Row],[Age]]&lt;45,"35-44","45+")))</f>
        <v>35-44</v>
      </c>
    </row>
    <row r="293" spans="1:15" x14ac:dyDescent="0.25">
      <c r="A293" t="s">
        <v>302</v>
      </c>
      <c r="B293" s="4">
        <v>44639</v>
      </c>
      <c r="D293">
        <v>57</v>
      </c>
      <c r="E293" t="s">
        <v>911</v>
      </c>
      <c r="F293" t="s">
        <v>917</v>
      </c>
      <c r="G293" t="s">
        <v>921</v>
      </c>
      <c r="H293">
        <v>2764.17</v>
      </c>
      <c r="I293">
        <v>4</v>
      </c>
      <c r="J293">
        <v>39</v>
      </c>
      <c r="K293" t="s">
        <v>923</v>
      </c>
      <c r="L293" t="str">
        <f>IF(ISBLANK(Table1[[#This Row],[CancelDate]]),"Active","Churned")</f>
        <v>Active</v>
      </c>
      <c r="M293">
        <f ca="1">IF(ISBLANK(Table1[[#This Row],[CancelDate]]),DATEDIF(Table1[[#This Row],[JoinDate]],TODAY(),"M"),DATEDIF(Table1[[#This Row],[JoinDate]],Table1[[#This Row],[CancelDate]],"M"))</f>
        <v>48</v>
      </c>
      <c r="N293" t="str">
        <f>IF(Table1[[#This Row],[EngagementScore]]&lt;=40,"Low",IF(Table1[[#This Row],[EngagementScore]]&lt;=70,"Medium","High"))</f>
        <v>Low</v>
      </c>
      <c r="O293" t="str">
        <f>IF(Table1[[#This Row],[Age]]&lt;25,"18-24",
IF(Table1[[#This Row],[Age]]&lt;35,"25-34",
IF(Table1[[#This Row],[Age]]&lt;45,"35-44","45+")))</f>
        <v>45+</v>
      </c>
    </row>
    <row r="294" spans="1:15" x14ac:dyDescent="0.25">
      <c r="A294" t="s">
        <v>303</v>
      </c>
      <c r="B294" s="4">
        <v>45098</v>
      </c>
      <c r="D294">
        <v>42</v>
      </c>
      <c r="E294" t="s">
        <v>911</v>
      </c>
      <c r="F294" t="s">
        <v>916</v>
      </c>
      <c r="G294" t="s">
        <v>920</v>
      </c>
      <c r="H294">
        <v>4560.55</v>
      </c>
      <c r="I294">
        <v>3</v>
      </c>
      <c r="J294">
        <v>36</v>
      </c>
      <c r="K294" t="s">
        <v>923</v>
      </c>
      <c r="L294" t="str">
        <f>IF(ISBLANK(Table1[[#This Row],[CancelDate]]),"Active","Churned")</f>
        <v>Active</v>
      </c>
      <c r="M294">
        <f ca="1">IF(ISBLANK(Table1[[#This Row],[CancelDate]]),DATEDIF(Table1[[#This Row],[JoinDate]],TODAY(),"M"),DATEDIF(Table1[[#This Row],[JoinDate]],Table1[[#This Row],[CancelDate]],"M"))</f>
        <v>33</v>
      </c>
      <c r="N294" t="str">
        <f>IF(Table1[[#This Row],[EngagementScore]]&lt;=40,"Low",IF(Table1[[#This Row],[EngagementScore]]&lt;=70,"Medium","High"))</f>
        <v>Low</v>
      </c>
      <c r="O294" t="str">
        <f>IF(Table1[[#This Row],[Age]]&lt;25,"18-24",
IF(Table1[[#This Row],[Age]]&lt;35,"25-34",
IF(Table1[[#This Row],[Age]]&lt;45,"35-44","45+")))</f>
        <v>35-44</v>
      </c>
    </row>
    <row r="295" spans="1:15" x14ac:dyDescent="0.25">
      <c r="A295" t="s">
        <v>304</v>
      </c>
      <c r="B295" s="4">
        <v>44629</v>
      </c>
      <c r="C295" s="1">
        <v>44728</v>
      </c>
      <c r="D295">
        <v>55</v>
      </c>
      <c r="E295" t="s">
        <v>912</v>
      </c>
      <c r="F295" t="s">
        <v>919</v>
      </c>
      <c r="G295" t="s">
        <v>921</v>
      </c>
      <c r="H295">
        <v>3919.74</v>
      </c>
      <c r="I295">
        <v>4</v>
      </c>
      <c r="J295">
        <v>32</v>
      </c>
      <c r="K295" t="s">
        <v>913</v>
      </c>
      <c r="L295" t="str">
        <f>IF(ISBLANK(Table1[[#This Row],[CancelDate]]),"Active","Churned")</f>
        <v>Churned</v>
      </c>
      <c r="M295">
        <f ca="1">IF(ISBLANK(Table1[[#This Row],[CancelDate]]),DATEDIF(Table1[[#This Row],[JoinDate]],TODAY(),"M"),DATEDIF(Table1[[#This Row],[JoinDate]],Table1[[#This Row],[CancelDate]],"M"))</f>
        <v>3</v>
      </c>
      <c r="N295" t="str">
        <f>IF(Table1[[#This Row],[EngagementScore]]&lt;=40,"Low",IF(Table1[[#This Row],[EngagementScore]]&lt;=70,"Medium","High"))</f>
        <v>Low</v>
      </c>
      <c r="O295" t="str">
        <f>IF(Table1[[#This Row],[Age]]&lt;25,"18-24",
IF(Table1[[#This Row],[Age]]&lt;35,"25-34",
IF(Table1[[#This Row],[Age]]&lt;45,"35-44","45+")))</f>
        <v>45+</v>
      </c>
    </row>
    <row r="296" spans="1:15" x14ac:dyDescent="0.25">
      <c r="A296" t="s">
        <v>305</v>
      </c>
      <c r="B296" s="4">
        <v>45123</v>
      </c>
      <c r="D296">
        <v>39</v>
      </c>
      <c r="E296" t="s">
        <v>911</v>
      </c>
      <c r="F296" t="s">
        <v>919</v>
      </c>
      <c r="G296" t="s">
        <v>921</v>
      </c>
      <c r="H296">
        <v>12733.37</v>
      </c>
      <c r="I296">
        <v>19</v>
      </c>
      <c r="J296">
        <v>91</v>
      </c>
      <c r="K296" t="s">
        <v>924</v>
      </c>
      <c r="L296" t="str">
        <f>IF(ISBLANK(Table1[[#This Row],[CancelDate]]),"Active","Churned")</f>
        <v>Active</v>
      </c>
      <c r="M296">
        <f ca="1">IF(ISBLANK(Table1[[#This Row],[CancelDate]]),DATEDIF(Table1[[#This Row],[JoinDate]],TODAY(),"M"),DATEDIF(Table1[[#This Row],[JoinDate]],Table1[[#This Row],[CancelDate]],"M"))</f>
        <v>32</v>
      </c>
      <c r="N296" t="str">
        <f>IF(Table1[[#This Row],[EngagementScore]]&lt;=40,"Low",IF(Table1[[#This Row],[EngagementScore]]&lt;=70,"Medium","High"))</f>
        <v>High</v>
      </c>
      <c r="O296" t="str">
        <f>IF(Table1[[#This Row],[Age]]&lt;25,"18-24",
IF(Table1[[#This Row],[Age]]&lt;35,"25-34",
IF(Table1[[#This Row],[Age]]&lt;45,"35-44","45+")))</f>
        <v>35-44</v>
      </c>
    </row>
    <row r="297" spans="1:15" x14ac:dyDescent="0.25">
      <c r="A297" t="s">
        <v>306</v>
      </c>
      <c r="B297" s="4">
        <v>45052</v>
      </c>
      <c r="D297">
        <v>51</v>
      </c>
      <c r="E297" t="s">
        <v>912</v>
      </c>
      <c r="F297" t="s">
        <v>917</v>
      </c>
      <c r="G297" t="s">
        <v>921</v>
      </c>
      <c r="H297">
        <v>14028.14</v>
      </c>
      <c r="I297">
        <v>7</v>
      </c>
      <c r="J297">
        <v>50</v>
      </c>
      <c r="K297" t="s">
        <v>925</v>
      </c>
      <c r="L297" t="str">
        <f>IF(ISBLANK(Table1[[#This Row],[CancelDate]]),"Active","Churned")</f>
        <v>Active</v>
      </c>
      <c r="M297">
        <f ca="1">IF(ISBLANK(Table1[[#This Row],[CancelDate]]),DATEDIF(Table1[[#This Row],[JoinDate]],TODAY(),"M"),DATEDIF(Table1[[#This Row],[JoinDate]],Table1[[#This Row],[CancelDate]],"M"))</f>
        <v>34</v>
      </c>
      <c r="N297" t="str">
        <f>IF(Table1[[#This Row],[EngagementScore]]&lt;=40,"Low",IF(Table1[[#This Row],[EngagementScore]]&lt;=70,"Medium","High"))</f>
        <v>Medium</v>
      </c>
      <c r="O297" t="str">
        <f>IF(Table1[[#This Row],[Age]]&lt;25,"18-24",
IF(Table1[[#This Row],[Age]]&lt;35,"25-34",
IF(Table1[[#This Row],[Age]]&lt;45,"35-44","45+")))</f>
        <v>45+</v>
      </c>
    </row>
    <row r="298" spans="1:15" x14ac:dyDescent="0.25">
      <c r="A298" t="s">
        <v>307</v>
      </c>
      <c r="B298" s="4">
        <v>44978</v>
      </c>
      <c r="D298">
        <v>47</v>
      </c>
      <c r="E298" t="s">
        <v>912</v>
      </c>
      <c r="F298" t="s">
        <v>916</v>
      </c>
      <c r="G298" t="s">
        <v>920</v>
      </c>
      <c r="H298">
        <v>29445.26</v>
      </c>
      <c r="I298">
        <v>14</v>
      </c>
      <c r="J298">
        <v>77</v>
      </c>
      <c r="K298" t="s">
        <v>925</v>
      </c>
      <c r="L298" t="str">
        <f>IF(ISBLANK(Table1[[#This Row],[CancelDate]]),"Active","Churned")</f>
        <v>Active</v>
      </c>
      <c r="M298">
        <f ca="1">IF(ISBLANK(Table1[[#This Row],[CancelDate]]),DATEDIF(Table1[[#This Row],[JoinDate]],TODAY(),"M"),DATEDIF(Table1[[#This Row],[JoinDate]],Table1[[#This Row],[CancelDate]],"M"))</f>
        <v>37</v>
      </c>
      <c r="N298" t="str">
        <f>IF(Table1[[#This Row],[EngagementScore]]&lt;=40,"Low",IF(Table1[[#This Row],[EngagementScore]]&lt;=70,"Medium","High"))</f>
        <v>High</v>
      </c>
      <c r="O298" t="str">
        <f>IF(Table1[[#This Row],[Age]]&lt;25,"18-24",
IF(Table1[[#This Row],[Age]]&lt;35,"25-34",
IF(Table1[[#This Row],[Age]]&lt;45,"35-44","45+")))</f>
        <v>45+</v>
      </c>
    </row>
    <row r="299" spans="1:15" x14ac:dyDescent="0.25">
      <c r="A299" t="s">
        <v>308</v>
      </c>
      <c r="B299" s="4">
        <v>44595</v>
      </c>
      <c r="D299">
        <v>28</v>
      </c>
      <c r="E299" t="s">
        <v>911</v>
      </c>
      <c r="F299" t="s">
        <v>915</v>
      </c>
      <c r="G299" t="s">
        <v>921</v>
      </c>
      <c r="H299">
        <v>5645.79</v>
      </c>
      <c r="I299">
        <v>9</v>
      </c>
      <c r="J299">
        <v>64</v>
      </c>
      <c r="K299" t="s">
        <v>925</v>
      </c>
      <c r="L299" t="str">
        <f>IF(ISBLANK(Table1[[#This Row],[CancelDate]]),"Active","Churned")</f>
        <v>Active</v>
      </c>
      <c r="M299">
        <f ca="1">IF(ISBLANK(Table1[[#This Row],[CancelDate]]),DATEDIF(Table1[[#This Row],[JoinDate]],TODAY(),"M"),DATEDIF(Table1[[#This Row],[JoinDate]],Table1[[#This Row],[CancelDate]],"M"))</f>
        <v>49</v>
      </c>
      <c r="N299" t="str">
        <f>IF(Table1[[#This Row],[EngagementScore]]&lt;=40,"Low",IF(Table1[[#This Row],[EngagementScore]]&lt;=70,"Medium","High"))</f>
        <v>Medium</v>
      </c>
      <c r="O299" t="str">
        <f>IF(Table1[[#This Row],[Age]]&lt;25,"18-24",
IF(Table1[[#This Row],[Age]]&lt;35,"25-34",
IF(Table1[[#This Row],[Age]]&lt;45,"35-44","45+")))</f>
        <v>25-34</v>
      </c>
    </row>
    <row r="300" spans="1:15" x14ac:dyDescent="0.25">
      <c r="A300" t="s">
        <v>309</v>
      </c>
      <c r="B300" s="4">
        <v>44893</v>
      </c>
      <c r="D300">
        <v>37</v>
      </c>
      <c r="E300" t="s">
        <v>911</v>
      </c>
      <c r="F300" t="s">
        <v>918</v>
      </c>
      <c r="G300" t="s">
        <v>921</v>
      </c>
      <c r="H300">
        <v>2601.61</v>
      </c>
      <c r="I300">
        <v>4</v>
      </c>
      <c r="J300">
        <v>13</v>
      </c>
      <c r="K300" t="s">
        <v>924</v>
      </c>
      <c r="L300" t="str">
        <f>IF(ISBLANK(Table1[[#This Row],[CancelDate]]),"Active","Churned")</f>
        <v>Active</v>
      </c>
      <c r="M300">
        <f ca="1">IF(ISBLANK(Table1[[#This Row],[CancelDate]]),DATEDIF(Table1[[#This Row],[JoinDate]],TODAY(),"M"),DATEDIF(Table1[[#This Row],[JoinDate]],Table1[[#This Row],[CancelDate]],"M"))</f>
        <v>40</v>
      </c>
      <c r="N300" t="str">
        <f>IF(Table1[[#This Row],[EngagementScore]]&lt;=40,"Low",IF(Table1[[#This Row],[EngagementScore]]&lt;=70,"Medium","High"))</f>
        <v>Low</v>
      </c>
      <c r="O300" t="str">
        <f>IF(Table1[[#This Row],[Age]]&lt;25,"18-24",
IF(Table1[[#This Row],[Age]]&lt;35,"25-34",
IF(Table1[[#This Row],[Age]]&lt;45,"35-44","45+")))</f>
        <v>35-44</v>
      </c>
    </row>
    <row r="301" spans="1:15" x14ac:dyDescent="0.25">
      <c r="A301" t="s">
        <v>310</v>
      </c>
      <c r="B301" s="4">
        <v>45421</v>
      </c>
      <c r="D301">
        <v>43</v>
      </c>
      <c r="E301" t="s">
        <v>911</v>
      </c>
      <c r="F301" t="s">
        <v>915</v>
      </c>
      <c r="G301" t="s">
        <v>922</v>
      </c>
      <c r="H301">
        <v>3818</v>
      </c>
      <c r="I301">
        <v>3</v>
      </c>
      <c r="J301">
        <v>23</v>
      </c>
      <c r="K301" t="s">
        <v>925</v>
      </c>
      <c r="L301" t="str">
        <f>IF(ISBLANK(Table1[[#This Row],[CancelDate]]),"Active","Churned")</f>
        <v>Active</v>
      </c>
      <c r="M301">
        <f ca="1">IF(ISBLANK(Table1[[#This Row],[CancelDate]]),DATEDIF(Table1[[#This Row],[JoinDate]],TODAY(),"M"),DATEDIF(Table1[[#This Row],[JoinDate]],Table1[[#This Row],[CancelDate]],"M"))</f>
        <v>22</v>
      </c>
      <c r="N301" t="str">
        <f>IF(Table1[[#This Row],[EngagementScore]]&lt;=40,"Low",IF(Table1[[#This Row],[EngagementScore]]&lt;=70,"Medium","High"))</f>
        <v>Low</v>
      </c>
      <c r="O301" t="str">
        <f>IF(Table1[[#This Row],[Age]]&lt;25,"18-24",
IF(Table1[[#This Row],[Age]]&lt;35,"25-34",
IF(Table1[[#This Row],[Age]]&lt;45,"35-44","45+")))</f>
        <v>35-44</v>
      </c>
    </row>
    <row r="302" spans="1:15" x14ac:dyDescent="0.25">
      <c r="A302" t="s">
        <v>311</v>
      </c>
      <c r="B302" s="4">
        <v>44630</v>
      </c>
      <c r="C302" s="1">
        <v>44807</v>
      </c>
      <c r="D302">
        <v>39</v>
      </c>
      <c r="E302" t="s">
        <v>911</v>
      </c>
      <c r="F302" t="s">
        <v>917</v>
      </c>
      <c r="G302" t="s">
        <v>921</v>
      </c>
      <c r="H302">
        <v>9058.44</v>
      </c>
      <c r="I302">
        <v>12</v>
      </c>
      <c r="J302">
        <v>51</v>
      </c>
      <c r="K302" t="s">
        <v>923</v>
      </c>
      <c r="L302" t="str">
        <f>IF(ISBLANK(Table1[[#This Row],[CancelDate]]),"Active","Churned")</f>
        <v>Churned</v>
      </c>
      <c r="M302">
        <f ca="1">IF(ISBLANK(Table1[[#This Row],[CancelDate]]),DATEDIF(Table1[[#This Row],[JoinDate]],TODAY(),"M"),DATEDIF(Table1[[#This Row],[JoinDate]],Table1[[#This Row],[CancelDate]],"M"))</f>
        <v>5</v>
      </c>
      <c r="N302" t="str">
        <f>IF(Table1[[#This Row],[EngagementScore]]&lt;=40,"Low",IF(Table1[[#This Row],[EngagementScore]]&lt;=70,"Medium","High"))</f>
        <v>Medium</v>
      </c>
      <c r="O302" t="str">
        <f>IF(Table1[[#This Row],[Age]]&lt;25,"18-24",
IF(Table1[[#This Row],[Age]]&lt;35,"25-34",
IF(Table1[[#This Row],[Age]]&lt;45,"35-44","45+")))</f>
        <v>35-44</v>
      </c>
    </row>
    <row r="303" spans="1:15" x14ac:dyDescent="0.25">
      <c r="A303" t="s">
        <v>312</v>
      </c>
      <c r="B303" s="4">
        <v>44792</v>
      </c>
      <c r="C303" s="1">
        <v>45117</v>
      </c>
      <c r="D303">
        <v>45</v>
      </c>
      <c r="E303" t="s">
        <v>912</v>
      </c>
      <c r="F303" t="s">
        <v>917</v>
      </c>
      <c r="G303" t="s">
        <v>921</v>
      </c>
      <c r="H303">
        <v>14793</v>
      </c>
      <c r="I303">
        <v>7</v>
      </c>
      <c r="J303">
        <v>69</v>
      </c>
      <c r="K303" t="s">
        <v>925</v>
      </c>
      <c r="L303" t="str">
        <f>IF(ISBLANK(Table1[[#This Row],[CancelDate]]),"Active","Churned")</f>
        <v>Churned</v>
      </c>
      <c r="M303">
        <f ca="1">IF(ISBLANK(Table1[[#This Row],[CancelDate]]),DATEDIF(Table1[[#This Row],[JoinDate]],TODAY(),"M"),DATEDIF(Table1[[#This Row],[JoinDate]],Table1[[#This Row],[CancelDate]],"M"))</f>
        <v>10</v>
      </c>
      <c r="N303" t="str">
        <f>IF(Table1[[#This Row],[EngagementScore]]&lt;=40,"Low",IF(Table1[[#This Row],[EngagementScore]]&lt;=70,"Medium","High"))</f>
        <v>Medium</v>
      </c>
      <c r="O303" t="str">
        <f>IF(Table1[[#This Row],[Age]]&lt;25,"18-24",
IF(Table1[[#This Row],[Age]]&lt;35,"25-34",
IF(Table1[[#This Row],[Age]]&lt;45,"35-44","45+")))</f>
        <v>45+</v>
      </c>
    </row>
    <row r="304" spans="1:15" x14ac:dyDescent="0.25">
      <c r="A304" t="s">
        <v>313</v>
      </c>
      <c r="B304" s="4">
        <v>45169</v>
      </c>
      <c r="D304">
        <v>38</v>
      </c>
      <c r="E304" t="s">
        <v>913</v>
      </c>
      <c r="F304" t="s">
        <v>918</v>
      </c>
      <c r="G304" t="s">
        <v>920</v>
      </c>
      <c r="H304">
        <v>2743.6</v>
      </c>
      <c r="I304">
        <v>7</v>
      </c>
      <c r="J304">
        <v>15</v>
      </c>
      <c r="K304" t="s">
        <v>925</v>
      </c>
      <c r="L304" t="str">
        <f>IF(ISBLANK(Table1[[#This Row],[CancelDate]]),"Active","Churned")</f>
        <v>Active</v>
      </c>
      <c r="M304">
        <f ca="1">IF(ISBLANK(Table1[[#This Row],[CancelDate]]),DATEDIF(Table1[[#This Row],[JoinDate]],TODAY(),"M"),DATEDIF(Table1[[#This Row],[JoinDate]],Table1[[#This Row],[CancelDate]],"M"))</f>
        <v>31</v>
      </c>
      <c r="N304" t="str">
        <f>IF(Table1[[#This Row],[EngagementScore]]&lt;=40,"Low",IF(Table1[[#This Row],[EngagementScore]]&lt;=70,"Medium","High"))</f>
        <v>Low</v>
      </c>
      <c r="O304" t="str">
        <f>IF(Table1[[#This Row],[Age]]&lt;25,"18-24",
IF(Table1[[#This Row],[Age]]&lt;35,"25-34",
IF(Table1[[#This Row],[Age]]&lt;45,"35-44","45+")))</f>
        <v>35-44</v>
      </c>
    </row>
    <row r="305" spans="1:15" x14ac:dyDescent="0.25">
      <c r="A305" t="s">
        <v>314</v>
      </c>
      <c r="B305" s="4">
        <v>45199</v>
      </c>
      <c r="D305">
        <v>41</v>
      </c>
      <c r="E305" t="s">
        <v>912</v>
      </c>
      <c r="F305" t="s">
        <v>916</v>
      </c>
      <c r="G305" t="s">
        <v>921</v>
      </c>
      <c r="H305">
        <v>5702.91</v>
      </c>
      <c r="I305">
        <v>9</v>
      </c>
      <c r="J305">
        <v>69</v>
      </c>
      <c r="K305" t="s">
        <v>925</v>
      </c>
      <c r="L305" t="str">
        <f>IF(ISBLANK(Table1[[#This Row],[CancelDate]]),"Active","Churned")</f>
        <v>Active</v>
      </c>
      <c r="M305">
        <f ca="1">IF(ISBLANK(Table1[[#This Row],[CancelDate]]),DATEDIF(Table1[[#This Row],[JoinDate]],TODAY(),"M"),DATEDIF(Table1[[#This Row],[JoinDate]],Table1[[#This Row],[CancelDate]],"M"))</f>
        <v>30</v>
      </c>
      <c r="N305" t="str">
        <f>IF(Table1[[#This Row],[EngagementScore]]&lt;=40,"Low",IF(Table1[[#This Row],[EngagementScore]]&lt;=70,"Medium","High"))</f>
        <v>Medium</v>
      </c>
      <c r="O305" t="str">
        <f>IF(Table1[[#This Row],[Age]]&lt;25,"18-24",
IF(Table1[[#This Row],[Age]]&lt;35,"25-34",
IF(Table1[[#This Row],[Age]]&lt;45,"35-44","45+")))</f>
        <v>35-44</v>
      </c>
    </row>
    <row r="306" spans="1:15" x14ac:dyDescent="0.25">
      <c r="A306" t="s">
        <v>315</v>
      </c>
      <c r="B306" s="4">
        <v>45325</v>
      </c>
      <c r="C306" s="1">
        <v>45445</v>
      </c>
      <c r="D306">
        <v>21</v>
      </c>
      <c r="E306" t="s">
        <v>912</v>
      </c>
      <c r="F306" t="s">
        <v>916</v>
      </c>
      <c r="G306" t="s">
        <v>922</v>
      </c>
      <c r="H306">
        <v>10770.3</v>
      </c>
      <c r="I306">
        <v>7</v>
      </c>
      <c r="J306">
        <v>67</v>
      </c>
      <c r="K306" t="s">
        <v>925</v>
      </c>
      <c r="L306" t="str">
        <f>IF(ISBLANK(Table1[[#This Row],[CancelDate]]),"Active","Churned")</f>
        <v>Churned</v>
      </c>
      <c r="M306">
        <f ca="1">IF(ISBLANK(Table1[[#This Row],[CancelDate]]),DATEDIF(Table1[[#This Row],[JoinDate]],TODAY(),"M"),DATEDIF(Table1[[#This Row],[JoinDate]],Table1[[#This Row],[CancelDate]],"M"))</f>
        <v>3</v>
      </c>
      <c r="N306" t="str">
        <f>IF(Table1[[#This Row],[EngagementScore]]&lt;=40,"Low",IF(Table1[[#This Row],[EngagementScore]]&lt;=70,"Medium","High"))</f>
        <v>Medium</v>
      </c>
      <c r="O306" t="str">
        <f>IF(Table1[[#This Row],[Age]]&lt;25,"18-24",
IF(Table1[[#This Row],[Age]]&lt;35,"25-34",
IF(Table1[[#This Row],[Age]]&lt;45,"35-44","45+")))</f>
        <v>18-24</v>
      </c>
    </row>
    <row r="307" spans="1:15" x14ac:dyDescent="0.25">
      <c r="A307" t="s">
        <v>316</v>
      </c>
      <c r="B307" s="4">
        <v>45135</v>
      </c>
      <c r="C307" s="1">
        <v>45302</v>
      </c>
      <c r="D307">
        <v>44</v>
      </c>
      <c r="E307" t="s">
        <v>912</v>
      </c>
      <c r="F307" t="s">
        <v>916</v>
      </c>
      <c r="G307" t="s">
        <v>922</v>
      </c>
      <c r="H307">
        <v>13525.65</v>
      </c>
      <c r="I307">
        <v>12</v>
      </c>
      <c r="J307">
        <v>44</v>
      </c>
      <c r="K307" t="s">
        <v>924</v>
      </c>
      <c r="L307" t="str">
        <f>IF(ISBLANK(Table1[[#This Row],[CancelDate]]),"Active","Churned")</f>
        <v>Churned</v>
      </c>
      <c r="M307">
        <f ca="1">IF(ISBLANK(Table1[[#This Row],[CancelDate]]),DATEDIF(Table1[[#This Row],[JoinDate]],TODAY(),"M"),DATEDIF(Table1[[#This Row],[JoinDate]],Table1[[#This Row],[CancelDate]],"M"))</f>
        <v>5</v>
      </c>
      <c r="N307" t="str">
        <f>IF(Table1[[#This Row],[EngagementScore]]&lt;=40,"Low",IF(Table1[[#This Row],[EngagementScore]]&lt;=70,"Medium","High"))</f>
        <v>Medium</v>
      </c>
      <c r="O307" t="str">
        <f>IF(Table1[[#This Row],[Age]]&lt;25,"18-24",
IF(Table1[[#This Row],[Age]]&lt;35,"25-34",
IF(Table1[[#This Row],[Age]]&lt;45,"35-44","45+")))</f>
        <v>35-44</v>
      </c>
    </row>
    <row r="308" spans="1:15" x14ac:dyDescent="0.25">
      <c r="A308" t="s">
        <v>317</v>
      </c>
      <c r="B308" s="4">
        <v>45424</v>
      </c>
      <c r="C308" s="1">
        <v>45760</v>
      </c>
      <c r="D308">
        <v>59</v>
      </c>
      <c r="E308" t="s">
        <v>912</v>
      </c>
      <c r="F308" t="s">
        <v>914</v>
      </c>
      <c r="G308" t="s">
        <v>920</v>
      </c>
      <c r="H308">
        <v>6953.62</v>
      </c>
      <c r="I308">
        <v>2</v>
      </c>
      <c r="J308">
        <v>33</v>
      </c>
      <c r="K308" t="s">
        <v>924</v>
      </c>
      <c r="L308" t="str">
        <f>IF(ISBLANK(Table1[[#This Row],[CancelDate]]),"Active","Churned")</f>
        <v>Churned</v>
      </c>
      <c r="M308">
        <f ca="1">IF(ISBLANK(Table1[[#This Row],[CancelDate]]),DATEDIF(Table1[[#This Row],[JoinDate]],TODAY(),"M"),DATEDIF(Table1[[#This Row],[JoinDate]],Table1[[#This Row],[CancelDate]],"M"))</f>
        <v>11</v>
      </c>
      <c r="N308" t="str">
        <f>IF(Table1[[#This Row],[EngagementScore]]&lt;=40,"Low",IF(Table1[[#This Row],[EngagementScore]]&lt;=70,"Medium","High"))</f>
        <v>Low</v>
      </c>
      <c r="O308" t="str">
        <f>IF(Table1[[#This Row],[Age]]&lt;25,"18-24",
IF(Table1[[#This Row],[Age]]&lt;35,"25-34",
IF(Table1[[#This Row],[Age]]&lt;45,"35-44","45+")))</f>
        <v>45+</v>
      </c>
    </row>
    <row r="309" spans="1:15" x14ac:dyDescent="0.25">
      <c r="A309" t="s">
        <v>318</v>
      </c>
      <c r="B309" s="4">
        <v>44640</v>
      </c>
      <c r="D309">
        <v>40</v>
      </c>
      <c r="E309" t="s">
        <v>912</v>
      </c>
      <c r="F309" t="s">
        <v>914</v>
      </c>
      <c r="G309" t="s">
        <v>921</v>
      </c>
      <c r="H309">
        <v>7546.21</v>
      </c>
      <c r="I309">
        <v>7</v>
      </c>
      <c r="J309">
        <v>67</v>
      </c>
      <c r="K309" t="s">
        <v>925</v>
      </c>
      <c r="L309" t="str">
        <f>IF(ISBLANK(Table1[[#This Row],[CancelDate]]),"Active","Churned")</f>
        <v>Active</v>
      </c>
      <c r="M309">
        <f ca="1">IF(ISBLANK(Table1[[#This Row],[CancelDate]]),DATEDIF(Table1[[#This Row],[JoinDate]],TODAY(),"M"),DATEDIF(Table1[[#This Row],[JoinDate]],Table1[[#This Row],[CancelDate]],"M"))</f>
        <v>48</v>
      </c>
      <c r="N309" t="str">
        <f>IF(Table1[[#This Row],[EngagementScore]]&lt;=40,"Low",IF(Table1[[#This Row],[EngagementScore]]&lt;=70,"Medium","High"))</f>
        <v>Medium</v>
      </c>
      <c r="O309" t="str">
        <f>IF(Table1[[#This Row],[Age]]&lt;25,"18-24",
IF(Table1[[#This Row],[Age]]&lt;35,"25-34",
IF(Table1[[#This Row],[Age]]&lt;45,"35-44","45+")))</f>
        <v>35-44</v>
      </c>
    </row>
    <row r="310" spans="1:15" x14ac:dyDescent="0.25">
      <c r="A310" t="s">
        <v>319</v>
      </c>
      <c r="B310" s="4">
        <v>45438</v>
      </c>
      <c r="C310" s="1">
        <v>45549</v>
      </c>
      <c r="D310">
        <v>56</v>
      </c>
      <c r="E310" t="s">
        <v>911</v>
      </c>
      <c r="F310" t="s">
        <v>916</v>
      </c>
      <c r="G310" t="s">
        <v>921</v>
      </c>
      <c r="H310">
        <v>7431.56</v>
      </c>
      <c r="I310">
        <v>3</v>
      </c>
      <c r="J310">
        <v>24</v>
      </c>
      <c r="K310" t="s">
        <v>913</v>
      </c>
      <c r="L310" t="str">
        <f>IF(ISBLANK(Table1[[#This Row],[CancelDate]]),"Active","Churned")</f>
        <v>Churned</v>
      </c>
      <c r="M310">
        <f ca="1">IF(ISBLANK(Table1[[#This Row],[CancelDate]]),DATEDIF(Table1[[#This Row],[JoinDate]],TODAY(),"M"),DATEDIF(Table1[[#This Row],[JoinDate]],Table1[[#This Row],[CancelDate]],"M"))</f>
        <v>3</v>
      </c>
      <c r="N310" t="str">
        <f>IF(Table1[[#This Row],[EngagementScore]]&lt;=40,"Low",IF(Table1[[#This Row],[EngagementScore]]&lt;=70,"Medium","High"))</f>
        <v>Low</v>
      </c>
      <c r="O310" t="str">
        <f>IF(Table1[[#This Row],[Age]]&lt;25,"18-24",
IF(Table1[[#This Row],[Age]]&lt;35,"25-34",
IF(Table1[[#This Row],[Age]]&lt;45,"35-44","45+")))</f>
        <v>45+</v>
      </c>
    </row>
    <row r="311" spans="1:15" x14ac:dyDescent="0.25">
      <c r="A311" t="s">
        <v>320</v>
      </c>
      <c r="B311" s="4">
        <v>44989</v>
      </c>
      <c r="C311" s="1">
        <v>45128</v>
      </c>
      <c r="D311">
        <v>47</v>
      </c>
      <c r="E311" t="s">
        <v>912</v>
      </c>
      <c r="F311" t="s">
        <v>919</v>
      </c>
      <c r="G311" t="s">
        <v>921</v>
      </c>
      <c r="H311">
        <v>3116.29</v>
      </c>
      <c r="I311">
        <v>4</v>
      </c>
      <c r="J311">
        <v>13</v>
      </c>
      <c r="K311" t="s">
        <v>925</v>
      </c>
      <c r="L311" t="str">
        <f>IF(ISBLANK(Table1[[#This Row],[CancelDate]]),"Active","Churned")</f>
        <v>Churned</v>
      </c>
      <c r="M311">
        <f ca="1">IF(ISBLANK(Table1[[#This Row],[CancelDate]]),DATEDIF(Table1[[#This Row],[JoinDate]],TODAY(),"M"),DATEDIF(Table1[[#This Row],[JoinDate]],Table1[[#This Row],[CancelDate]],"M"))</f>
        <v>4</v>
      </c>
      <c r="N311" t="str">
        <f>IF(Table1[[#This Row],[EngagementScore]]&lt;=40,"Low",IF(Table1[[#This Row],[EngagementScore]]&lt;=70,"Medium","High"))</f>
        <v>Low</v>
      </c>
      <c r="O311" t="str">
        <f>IF(Table1[[#This Row],[Age]]&lt;25,"18-24",
IF(Table1[[#This Row],[Age]]&lt;35,"25-34",
IF(Table1[[#This Row],[Age]]&lt;45,"35-44","45+")))</f>
        <v>45+</v>
      </c>
    </row>
    <row r="312" spans="1:15" x14ac:dyDescent="0.25">
      <c r="A312" t="s">
        <v>321</v>
      </c>
      <c r="B312" s="4">
        <v>45150</v>
      </c>
      <c r="C312" s="1">
        <v>45284</v>
      </c>
      <c r="D312">
        <v>44</v>
      </c>
      <c r="E312" t="s">
        <v>912</v>
      </c>
      <c r="F312" t="s">
        <v>915</v>
      </c>
      <c r="G312" t="s">
        <v>921</v>
      </c>
      <c r="H312">
        <v>3200.1</v>
      </c>
      <c r="I312">
        <v>6</v>
      </c>
      <c r="J312">
        <v>30</v>
      </c>
      <c r="K312" t="s">
        <v>925</v>
      </c>
      <c r="L312" t="str">
        <f>IF(ISBLANK(Table1[[#This Row],[CancelDate]]),"Active","Churned")</f>
        <v>Churned</v>
      </c>
      <c r="M312">
        <f ca="1">IF(ISBLANK(Table1[[#This Row],[CancelDate]]),DATEDIF(Table1[[#This Row],[JoinDate]],TODAY(),"M"),DATEDIF(Table1[[#This Row],[JoinDate]],Table1[[#This Row],[CancelDate]],"M"))</f>
        <v>4</v>
      </c>
      <c r="N312" t="str">
        <f>IF(Table1[[#This Row],[EngagementScore]]&lt;=40,"Low",IF(Table1[[#This Row],[EngagementScore]]&lt;=70,"Medium","High"))</f>
        <v>Low</v>
      </c>
      <c r="O312" t="str">
        <f>IF(Table1[[#This Row],[Age]]&lt;25,"18-24",
IF(Table1[[#This Row],[Age]]&lt;35,"25-34",
IF(Table1[[#This Row],[Age]]&lt;45,"35-44","45+")))</f>
        <v>35-44</v>
      </c>
    </row>
    <row r="313" spans="1:15" x14ac:dyDescent="0.25">
      <c r="A313" t="s">
        <v>322</v>
      </c>
      <c r="B313" s="4">
        <v>44962</v>
      </c>
      <c r="D313">
        <v>48</v>
      </c>
      <c r="E313" t="s">
        <v>912</v>
      </c>
      <c r="F313" t="s">
        <v>919</v>
      </c>
      <c r="G313" t="s">
        <v>922</v>
      </c>
      <c r="H313">
        <v>14972.23</v>
      </c>
      <c r="I313">
        <v>28</v>
      </c>
      <c r="J313">
        <v>83</v>
      </c>
      <c r="K313" t="s">
        <v>923</v>
      </c>
      <c r="L313" t="str">
        <f>IF(ISBLANK(Table1[[#This Row],[CancelDate]]),"Active","Churned")</f>
        <v>Active</v>
      </c>
      <c r="M313">
        <f ca="1">IF(ISBLANK(Table1[[#This Row],[CancelDate]]),DATEDIF(Table1[[#This Row],[JoinDate]],TODAY(),"M"),DATEDIF(Table1[[#This Row],[JoinDate]],Table1[[#This Row],[CancelDate]],"M"))</f>
        <v>37</v>
      </c>
      <c r="N313" t="str">
        <f>IF(Table1[[#This Row],[EngagementScore]]&lt;=40,"Low",IF(Table1[[#This Row],[EngagementScore]]&lt;=70,"Medium","High"))</f>
        <v>High</v>
      </c>
      <c r="O313" t="str">
        <f>IF(Table1[[#This Row],[Age]]&lt;25,"18-24",
IF(Table1[[#This Row],[Age]]&lt;35,"25-34",
IF(Table1[[#This Row],[Age]]&lt;45,"35-44","45+")))</f>
        <v>45+</v>
      </c>
    </row>
    <row r="314" spans="1:15" x14ac:dyDescent="0.25">
      <c r="A314" t="s">
        <v>323</v>
      </c>
      <c r="B314" s="4">
        <v>44931</v>
      </c>
      <c r="C314" s="1">
        <v>45069</v>
      </c>
      <c r="D314">
        <v>39</v>
      </c>
      <c r="E314" t="s">
        <v>911</v>
      </c>
      <c r="F314" t="s">
        <v>914</v>
      </c>
      <c r="G314" t="s">
        <v>920</v>
      </c>
      <c r="H314">
        <v>22803.98</v>
      </c>
      <c r="I314">
        <v>26</v>
      </c>
      <c r="J314">
        <v>74</v>
      </c>
      <c r="K314" t="s">
        <v>925</v>
      </c>
      <c r="L314" t="str">
        <f>IF(ISBLANK(Table1[[#This Row],[CancelDate]]),"Active","Churned")</f>
        <v>Churned</v>
      </c>
      <c r="M314">
        <f ca="1">IF(ISBLANK(Table1[[#This Row],[CancelDate]]),DATEDIF(Table1[[#This Row],[JoinDate]],TODAY(),"M"),DATEDIF(Table1[[#This Row],[JoinDate]],Table1[[#This Row],[CancelDate]],"M"))</f>
        <v>4</v>
      </c>
      <c r="N314" t="str">
        <f>IF(Table1[[#This Row],[EngagementScore]]&lt;=40,"Low",IF(Table1[[#This Row],[EngagementScore]]&lt;=70,"Medium","High"))</f>
        <v>High</v>
      </c>
      <c r="O314" t="str">
        <f>IF(Table1[[#This Row],[Age]]&lt;25,"18-24",
IF(Table1[[#This Row],[Age]]&lt;35,"25-34",
IF(Table1[[#This Row],[Age]]&lt;45,"35-44","45+")))</f>
        <v>35-44</v>
      </c>
    </row>
    <row r="315" spans="1:15" x14ac:dyDescent="0.25">
      <c r="A315" t="s">
        <v>324</v>
      </c>
      <c r="B315" s="4">
        <v>45196</v>
      </c>
      <c r="C315" s="1">
        <v>45326</v>
      </c>
      <c r="D315">
        <v>27</v>
      </c>
      <c r="E315" t="s">
        <v>911</v>
      </c>
      <c r="F315" t="s">
        <v>915</v>
      </c>
      <c r="G315" t="s">
        <v>921</v>
      </c>
      <c r="H315">
        <v>3386.48</v>
      </c>
      <c r="I315">
        <v>1</v>
      </c>
      <c r="J315">
        <v>28</v>
      </c>
      <c r="K315" t="s">
        <v>924</v>
      </c>
      <c r="L315" t="str">
        <f>IF(ISBLANK(Table1[[#This Row],[CancelDate]]),"Active","Churned")</f>
        <v>Churned</v>
      </c>
      <c r="M315">
        <f ca="1">IF(ISBLANK(Table1[[#This Row],[CancelDate]]),DATEDIF(Table1[[#This Row],[JoinDate]],TODAY(),"M"),DATEDIF(Table1[[#This Row],[JoinDate]],Table1[[#This Row],[CancelDate]],"M"))</f>
        <v>4</v>
      </c>
      <c r="N315" t="str">
        <f>IF(Table1[[#This Row],[EngagementScore]]&lt;=40,"Low",IF(Table1[[#This Row],[EngagementScore]]&lt;=70,"Medium","High"))</f>
        <v>Low</v>
      </c>
      <c r="O315" t="str">
        <f>IF(Table1[[#This Row],[Age]]&lt;25,"18-24",
IF(Table1[[#This Row],[Age]]&lt;35,"25-34",
IF(Table1[[#This Row],[Age]]&lt;45,"35-44","45+")))</f>
        <v>25-34</v>
      </c>
    </row>
    <row r="316" spans="1:15" x14ac:dyDescent="0.25">
      <c r="A316" t="s">
        <v>325</v>
      </c>
      <c r="B316" s="4">
        <v>44972</v>
      </c>
      <c r="D316">
        <v>45</v>
      </c>
      <c r="E316" t="s">
        <v>911</v>
      </c>
      <c r="F316" t="s">
        <v>916</v>
      </c>
      <c r="G316" t="s">
        <v>922</v>
      </c>
      <c r="H316">
        <v>5976.16</v>
      </c>
      <c r="I316">
        <v>5</v>
      </c>
      <c r="J316">
        <v>63</v>
      </c>
      <c r="K316" t="s">
        <v>925</v>
      </c>
      <c r="L316" t="str">
        <f>IF(ISBLANK(Table1[[#This Row],[CancelDate]]),"Active","Churned")</f>
        <v>Active</v>
      </c>
      <c r="M316">
        <f ca="1">IF(ISBLANK(Table1[[#This Row],[CancelDate]]),DATEDIF(Table1[[#This Row],[JoinDate]],TODAY(),"M"),DATEDIF(Table1[[#This Row],[JoinDate]],Table1[[#This Row],[CancelDate]],"M"))</f>
        <v>37</v>
      </c>
      <c r="N316" t="str">
        <f>IF(Table1[[#This Row],[EngagementScore]]&lt;=40,"Low",IF(Table1[[#This Row],[EngagementScore]]&lt;=70,"Medium","High"))</f>
        <v>Medium</v>
      </c>
      <c r="O316" t="str">
        <f>IF(Table1[[#This Row],[Age]]&lt;25,"18-24",
IF(Table1[[#This Row],[Age]]&lt;35,"25-34",
IF(Table1[[#This Row],[Age]]&lt;45,"35-44","45+")))</f>
        <v>45+</v>
      </c>
    </row>
    <row r="317" spans="1:15" x14ac:dyDescent="0.25">
      <c r="A317" t="s">
        <v>326</v>
      </c>
      <c r="B317" s="4">
        <v>44942</v>
      </c>
      <c r="D317">
        <v>20</v>
      </c>
      <c r="E317" t="s">
        <v>912</v>
      </c>
      <c r="F317" t="s">
        <v>917</v>
      </c>
      <c r="G317" t="s">
        <v>921</v>
      </c>
      <c r="H317">
        <v>8701.2000000000007</v>
      </c>
      <c r="I317">
        <v>10</v>
      </c>
      <c r="J317">
        <v>64</v>
      </c>
      <c r="K317" t="s">
        <v>924</v>
      </c>
      <c r="L317" t="str">
        <f>IF(ISBLANK(Table1[[#This Row],[CancelDate]]),"Active","Churned")</f>
        <v>Active</v>
      </c>
      <c r="M317">
        <f ca="1">IF(ISBLANK(Table1[[#This Row],[CancelDate]]),DATEDIF(Table1[[#This Row],[JoinDate]],TODAY(),"M"),DATEDIF(Table1[[#This Row],[JoinDate]],Table1[[#This Row],[CancelDate]],"M"))</f>
        <v>38</v>
      </c>
      <c r="N317" t="str">
        <f>IF(Table1[[#This Row],[EngagementScore]]&lt;=40,"Low",IF(Table1[[#This Row],[EngagementScore]]&lt;=70,"Medium","High"))</f>
        <v>Medium</v>
      </c>
      <c r="O317" t="str">
        <f>IF(Table1[[#This Row],[Age]]&lt;25,"18-24",
IF(Table1[[#This Row],[Age]]&lt;35,"25-34",
IF(Table1[[#This Row],[Age]]&lt;45,"35-44","45+")))</f>
        <v>18-24</v>
      </c>
    </row>
    <row r="318" spans="1:15" x14ac:dyDescent="0.25">
      <c r="A318" t="s">
        <v>327</v>
      </c>
      <c r="B318" s="4">
        <v>45427</v>
      </c>
      <c r="C318" s="1">
        <v>45710</v>
      </c>
      <c r="D318">
        <v>57</v>
      </c>
      <c r="E318" t="s">
        <v>912</v>
      </c>
      <c r="F318" t="s">
        <v>919</v>
      </c>
      <c r="G318" t="s">
        <v>922</v>
      </c>
      <c r="H318">
        <v>6125.53</v>
      </c>
      <c r="I318">
        <v>2</v>
      </c>
      <c r="J318">
        <v>23</v>
      </c>
      <c r="K318" t="s">
        <v>925</v>
      </c>
      <c r="L318" t="str">
        <f>IF(ISBLANK(Table1[[#This Row],[CancelDate]]),"Active","Churned")</f>
        <v>Churned</v>
      </c>
      <c r="M318">
        <f ca="1">IF(ISBLANK(Table1[[#This Row],[CancelDate]]),DATEDIF(Table1[[#This Row],[JoinDate]],TODAY(),"M"),DATEDIF(Table1[[#This Row],[JoinDate]],Table1[[#This Row],[CancelDate]],"M"))</f>
        <v>9</v>
      </c>
      <c r="N318" t="str">
        <f>IF(Table1[[#This Row],[EngagementScore]]&lt;=40,"Low",IF(Table1[[#This Row],[EngagementScore]]&lt;=70,"Medium","High"))</f>
        <v>Low</v>
      </c>
      <c r="O318" t="str">
        <f>IF(Table1[[#This Row],[Age]]&lt;25,"18-24",
IF(Table1[[#This Row],[Age]]&lt;35,"25-34",
IF(Table1[[#This Row],[Age]]&lt;45,"35-44","45+")))</f>
        <v>45+</v>
      </c>
    </row>
    <row r="319" spans="1:15" x14ac:dyDescent="0.25">
      <c r="A319" t="s">
        <v>328</v>
      </c>
      <c r="B319" s="4">
        <v>45082</v>
      </c>
      <c r="D319">
        <v>41</v>
      </c>
      <c r="E319" t="s">
        <v>912</v>
      </c>
      <c r="F319" t="s">
        <v>914</v>
      </c>
      <c r="G319" t="s">
        <v>921</v>
      </c>
      <c r="H319">
        <v>21649.08</v>
      </c>
      <c r="I319">
        <v>20</v>
      </c>
      <c r="J319">
        <v>84</v>
      </c>
      <c r="K319" t="s">
        <v>923</v>
      </c>
      <c r="L319" t="str">
        <f>IF(ISBLANK(Table1[[#This Row],[CancelDate]]),"Active","Churned")</f>
        <v>Active</v>
      </c>
      <c r="M319">
        <f ca="1">IF(ISBLANK(Table1[[#This Row],[CancelDate]]),DATEDIF(Table1[[#This Row],[JoinDate]],TODAY(),"M"),DATEDIF(Table1[[#This Row],[JoinDate]],Table1[[#This Row],[CancelDate]],"M"))</f>
        <v>33</v>
      </c>
      <c r="N319" t="str">
        <f>IF(Table1[[#This Row],[EngagementScore]]&lt;=40,"Low",IF(Table1[[#This Row],[EngagementScore]]&lt;=70,"Medium","High"))</f>
        <v>High</v>
      </c>
      <c r="O319" t="str">
        <f>IF(Table1[[#This Row],[Age]]&lt;25,"18-24",
IF(Table1[[#This Row],[Age]]&lt;35,"25-34",
IF(Table1[[#This Row],[Age]]&lt;45,"35-44","45+")))</f>
        <v>35-44</v>
      </c>
    </row>
    <row r="320" spans="1:15" x14ac:dyDescent="0.25">
      <c r="A320" t="s">
        <v>329</v>
      </c>
      <c r="B320" s="4">
        <v>45254</v>
      </c>
      <c r="C320" s="1">
        <v>45456</v>
      </c>
      <c r="D320">
        <v>29</v>
      </c>
      <c r="E320" t="s">
        <v>911</v>
      </c>
      <c r="F320" t="s">
        <v>915</v>
      </c>
      <c r="G320" t="s">
        <v>921</v>
      </c>
      <c r="H320">
        <v>2501.4</v>
      </c>
      <c r="I320">
        <v>7</v>
      </c>
      <c r="J320">
        <v>23</v>
      </c>
      <c r="K320" t="s">
        <v>925</v>
      </c>
      <c r="L320" t="str">
        <f>IF(ISBLANK(Table1[[#This Row],[CancelDate]]),"Active","Churned")</f>
        <v>Churned</v>
      </c>
      <c r="M320">
        <f ca="1">IF(ISBLANK(Table1[[#This Row],[CancelDate]]),DATEDIF(Table1[[#This Row],[JoinDate]],TODAY(),"M"),DATEDIF(Table1[[#This Row],[JoinDate]],Table1[[#This Row],[CancelDate]],"M"))</f>
        <v>6</v>
      </c>
      <c r="N320" t="str">
        <f>IF(Table1[[#This Row],[EngagementScore]]&lt;=40,"Low",IF(Table1[[#This Row],[EngagementScore]]&lt;=70,"Medium","High"))</f>
        <v>Low</v>
      </c>
      <c r="O320" t="str">
        <f>IF(Table1[[#This Row],[Age]]&lt;25,"18-24",
IF(Table1[[#This Row],[Age]]&lt;35,"25-34",
IF(Table1[[#This Row],[Age]]&lt;45,"35-44","45+")))</f>
        <v>25-34</v>
      </c>
    </row>
    <row r="321" spans="1:15" x14ac:dyDescent="0.25">
      <c r="A321" t="s">
        <v>330</v>
      </c>
      <c r="B321" s="4">
        <v>45168</v>
      </c>
      <c r="C321" s="1">
        <v>45471</v>
      </c>
      <c r="D321">
        <v>53</v>
      </c>
      <c r="E321" t="s">
        <v>912</v>
      </c>
      <c r="F321" t="s">
        <v>917</v>
      </c>
      <c r="G321" t="s">
        <v>921</v>
      </c>
      <c r="H321">
        <v>6180.44</v>
      </c>
      <c r="I321">
        <v>6</v>
      </c>
      <c r="J321">
        <v>28</v>
      </c>
      <c r="K321" t="s">
        <v>924</v>
      </c>
      <c r="L321" t="str">
        <f>IF(ISBLANK(Table1[[#This Row],[CancelDate]]),"Active","Churned")</f>
        <v>Churned</v>
      </c>
      <c r="M321">
        <f ca="1">IF(ISBLANK(Table1[[#This Row],[CancelDate]]),DATEDIF(Table1[[#This Row],[JoinDate]],TODAY(),"M"),DATEDIF(Table1[[#This Row],[JoinDate]],Table1[[#This Row],[CancelDate]],"M"))</f>
        <v>9</v>
      </c>
      <c r="N321" t="str">
        <f>IF(Table1[[#This Row],[EngagementScore]]&lt;=40,"Low",IF(Table1[[#This Row],[EngagementScore]]&lt;=70,"Medium","High"))</f>
        <v>Low</v>
      </c>
      <c r="O321" t="str">
        <f>IF(Table1[[#This Row],[Age]]&lt;25,"18-24",
IF(Table1[[#This Row],[Age]]&lt;35,"25-34",
IF(Table1[[#This Row],[Age]]&lt;45,"35-44","45+")))</f>
        <v>45+</v>
      </c>
    </row>
    <row r="322" spans="1:15" x14ac:dyDescent="0.25">
      <c r="A322" t="s">
        <v>331</v>
      </c>
      <c r="B322" s="4">
        <v>45427</v>
      </c>
      <c r="D322">
        <v>36</v>
      </c>
      <c r="E322" t="s">
        <v>911</v>
      </c>
      <c r="F322" t="s">
        <v>915</v>
      </c>
      <c r="G322" t="s">
        <v>921</v>
      </c>
      <c r="H322">
        <v>7168.01</v>
      </c>
      <c r="I322">
        <v>2</v>
      </c>
      <c r="J322">
        <v>38</v>
      </c>
      <c r="K322" t="s">
        <v>924</v>
      </c>
      <c r="L322" t="str">
        <f>IF(ISBLANK(Table1[[#This Row],[CancelDate]]),"Active","Churned")</f>
        <v>Active</v>
      </c>
      <c r="M322">
        <f ca="1">IF(ISBLANK(Table1[[#This Row],[CancelDate]]),DATEDIF(Table1[[#This Row],[JoinDate]],TODAY(),"M"),DATEDIF(Table1[[#This Row],[JoinDate]],Table1[[#This Row],[CancelDate]],"M"))</f>
        <v>22</v>
      </c>
      <c r="N322" t="str">
        <f>IF(Table1[[#This Row],[EngagementScore]]&lt;=40,"Low",IF(Table1[[#This Row],[EngagementScore]]&lt;=70,"Medium","High"))</f>
        <v>Low</v>
      </c>
      <c r="O322" t="str">
        <f>IF(Table1[[#This Row],[Age]]&lt;25,"18-24",
IF(Table1[[#This Row],[Age]]&lt;35,"25-34",
IF(Table1[[#This Row],[Age]]&lt;45,"35-44","45+")))</f>
        <v>35-44</v>
      </c>
    </row>
    <row r="323" spans="1:15" x14ac:dyDescent="0.25">
      <c r="A323" t="s">
        <v>332</v>
      </c>
      <c r="B323" s="4">
        <v>45281</v>
      </c>
      <c r="D323">
        <v>49</v>
      </c>
      <c r="E323" t="s">
        <v>912</v>
      </c>
      <c r="F323" t="s">
        <v>915</v>
      </c>
      <c r="G323" t="s">
        <v>921</v>
      </c>
      <c r="H323">
        <v>10412.59</v>
      </c>
      <c r="I323">
        <v>5</v>
      </c>
      <c r="J323">
        <v>49</v>
      </c>
      <c r="K323" t="s">
        <v>923</v>
      </c>
      <c r="L323" t="str">
        <f>IF(ISBLANK(Table1[[#This Row],[CancelDate]]),"Active","Churned")</f>
        <v>Active</v>
      </c>
      <c r="M323">
        <f ca="1">IF(ISBLANK(Table1[[#This Row],[CancelDate]]),DATEDIF(Table1[[#This Row],[JoinDate]],TODAY(),"M"),DATEDIF(Table1[[#This Row],[JoinDate]],Table1[[#This Row],[CancelDate]],"M"))</f>
        <v>27</v>
      </c>
      <c r="N323" t="str">
        <f>IF(Table1[[#This Row],[EngagementScore]]&lt;=40,"Low",IF(Table1[[#This Row],[EngagementScore]]&lt;=70,"Medium","High"))</f>
        <v>Medium</v>
      </c>
      <c r="O323" t="str">
        <f>IF(Table1[[#This Row],[Age]]&lt;25,"18-24",
IF(Table1[[#This Row],[Age]]&lt;35,"25-34",
IF(Table1[[#This Row],[Age]]&lt;45,"35-44","45+")))</f>
        <v>45+</v>
      </c>
    </row>
    <row r="324" spans="1:15" x14ac:dyDescent="0.25">
      <c r="A324" t="s">
        <v>333</v>
      </c>
      <c r="B324" s="4">
        <v>44968</v>
      </c>
      <c r="D324">
        <v>50</v>
      </c>
      <c r="E324" t="s">
        <v>911</v>
      </c>
      <c r="F324" t="s">
        <v>918</v>
      </c>
      <c r="G324" t="s">
        <v>920</v>
      </c>
      <c r="H324">
        <v>9746.25</v>
      </c>
      <c r="I324">
        <v>12</v>
      </c>
      <c r="J324">
        <v>59</v>
      </c>
      <c r="K324" t="s">
        <v>924</v>
      </c>
      <c r="L324" t="str">
        <f>IF(ISBLANK(Table1[[#This Row],[CancelDate]]),"Active","Churned")</f>
        <v>Active</v>
      </c>
      <c r="M324">
        <f ca="1">IF(ISBLANK(Table1[[#This Row],[CancelDate]]),DATEDIF(Table1[[#This Row],[JoinDate]],TODAY(),"M"),DATEDIF(Table1[[#This Row],[JoinDate]],Table1[[#This Row],[CancelDate]],"M"))</f>
        <v>37</v>
      </c>
      <c r="N324" t="str">
        <f>IF(Table1[[#This Row],[EngagementScore]]&lt;=40,"Low",IF(Table1[[#This Row],[EngagementScore]]&lt;=70,"Medium","High"))</f>
        <v>Medium</v>
      </c>
      <c r="O324" t="str">
        <f>IF(Table1[[#This Row],[Age]]&lt;25,"18-24",
IF(Table1[[#This Row],[Age]]&lt;35,"25-34",
IF(Table1[[#This Row],[Age]]&lt;45,"35-44","45+")))</f>
        <v>45+</v>
      </c>
    </row>
    <row r="325" spans="1:15" x14ac:dyDescent="0.25">
      <c r="A325" t="s">
        <v>334</v>
      </c>
      <c r="B325" s="4">
        <v>44746</v>
      </c>
      <c r="C325" s="1">
        <v>44921</v>
      </c>
      <c r="D325">
        <v>33</v>
      </c>
      <c r="E325" t="s">
        <v>912</v>
      </c>
      <c r="F325" t="s">
        <v>919</v>
      </c>
      <c r="G325" t="s">
        <v>921</v>
      </c>
      <c r="H325">
        <v>5640.21</v>
      </c>
      <c r="I325">
        <v>6</v>
      </c>
      <c r="J325">
        <v>37</v>
      </c>
      <c r="K325" t="s">
        <v>924</v>
      </c>
      <c r="L325" t="str">
        <f>IF(ISBLANK(Table1[[#This Row],[CancelDate]]),"Active","Churned")</f>
        <v>Churned</v>
      </c>
      <c r="M325">
        <f ca="1">IF(ISBLANK(Table1[[#This Row],[CancelDate]]),DATEDIF(Table1[[#This Row],[JoinDate]],TODAY(),"M"),DATEDIF(Table1[[#This Row],[JoinDate]],Table1[[#This Row],[CancelDate]],"M"))</f>
        <v>5</v>
      </c>
      <c r="N325" t="str">
        <f>IF(Table1[[#This Row],[EngagementScore]]&lt;=40,"Low",IF(Table1[[#This Row],[EngagementScore]]&lt;=70,"Medium","High"))</f>
        <v>Low</v>
      </c>
      <c r="O325" t="str">
        <f>IF(Table1[[#This Row],[Age]]&lt;25,"18-24",
IF(Table1[[#This Row],[Age]]&lt;35,"25-34",
IF(Table1[[#This Row],[Age]]&lt;45,"35-44","45+")))</f>
        <v>25-34</v>
      </c>
    </row>
    <row r="326" spans="1:15" x14ac:dyDescent="0.25">
      <c r="A326" t="s">
        <v>335</v>
      </c>
      <c r="B326" s="4">
        <v>44743</v>
      </c>
      <c r="D326">
        <v>54</v>
      </c>
      <c r="E326" t="s">
        <v>911</v>
      </c>
      <c r="F326" t="s">
        <v>915</v>
      </c>
      <c r="G326" t="s">
        <v>922</v>
      </c>
      <c r="H326">
        <v>9361.67</v>
      </c>
      <c r="I326">
        <v>12</v>
      </c>
      <c r="J326">
        <v>63</v>
      </c>
      <c r="K326" t="s">
        <v>924</v>
      </c>
      <c r="L326" t="str">
        <f>IF(ISBLANK(Table1[[#This Row],[CancelDate]]),"Active","Churned")</f>
        <v>Active</v>
      </c>
      <c r="M326">
        <f ca="1">IF(ISBLANK(Table1[[#This Row],[CancelDate]]),DATEDIF(Table1[[#This Row],[JoinDate]],TODAY(),"M"),DATEDIF(Table1[[#This Row],[JoinDate]],Table1[[#This Row],[CancelDate]],"M"))</f>
        <v>45</v>
      </c>
      <c r="N326" t="str">
        <f>IF(Table1[[#This Row],[EngagementScore]]&lt;=40,"Low",IF(Table1[[#This Row],[EngagementScore]]&lt;=70,"Medium","High"))</f>
        <v>Medium</v>
      </c>
      <c r="O326" t="str">
        <f>IF(Table1[[#This Row],[Age]]&lt;25,"18-24",
IF(Table1[[#This Row],[Age]]&lt;35,"25-34",
IF(Table1[[#This Row],[Age]]&lt;45,"35-44","45+")))</f>
        <v>45+</v>
      </c>
    </row>
    <row r="327" spans="1:15" x14ac:dyDescent="0.25">
      <c r="A327" t="s">
        <v>336</v>
      </c>
      <c r="B327" s="4">
        <v>45108</v>
      </c>
      <c r="D327">
        <v>48</v>
      </c>
      <c r="E327" t="s">
        <v>912</v>
      </c>
      <c r="F327" t="s">
        <v>916</v>
      </c>
      <c r="G327" t="s">
        <v>921</v>
      </c>
      <c r="H327">
        <v>15474.72</v>
      </c>
      <c r="I327">
        <v>19</v>
      </c>
      <c r="J327">
        <v>96</v>
      </c>
      <c r="K327" t="s">
        <v>923</v>
      </c>
      <c r="L327" t="str">
        <f>IF(ISBLANK(Table1[[#This Row],[CancelDate]]),"Active","Churned")</f>
        <v>Active</v>
      </c>
      <c r="M327">
        <f ca="1">IF(ISBLANK(Table1[[#This Row],[CancelDate]]),DATEDIF(Table1[[#This Row],[JoinDate]],TODAY(),"M"),DATEDIF(Table1[[#This Row],[JoinDate]],Table1[[#This Row],[CancelDate]],"M"))</f>
        <v>33</v>
      </c>
      <c r="N327" t="str">
        <f>IF(Table1[[#This Row],[EngagementScore]]&lt;=40,"Low",IF(Table1[[#This Row],[EngagementScore]]&lt;=70,"Medium","High"))</f>
        <v>High</v>
      </c>
      <c r="O327" t="str">
        <f>IF(Table1[[#This Row],[Age]]&lt;25,"18-24",
IF(Table1[[#This Row],[Age]]&lt;35,"25-34",
IF(Table1[[#This Row],[Age]]&lt;45,"35-44","45+")))</f>
        <v>45+</v>
      </c>
    </row>
    <row r="328" spans="1:15" x14ac:dyDescent="0.25">
      <c r="A328" t="s">
        <v>337</v>
      </c>
      <c r="B328" s="4">
        <v>45342</v>
      </c>
      <c r="C328" s="1">
        <v>45418</v>
      </c>
      <c r="D328">
        <v>33</v>
      </c>
      <c r="E328" t="s">
        <v>911</v>
      </c>
      <c r="F328" t="s">
        <v>915</v>
      </c>
      <c r="G328" t="s">
        <v>921</v>
      </c>
      <c r="H328">
        <v>3712.95</v>
      </c>
      <c r="I328">
        <v>1</v>
      </c>
      <c r="J328">
        <v>38</v>
      </c>
      <c r="K328" t="s">
        <v>913</v>
      </c>
      <c r="L328" t="str">
        <f>IF(ISBLANK(Table1[[#This Row],[CancelDate]]),"Active","Churned")</f>
        <v>Churned</v>
      </c>
      <c r="M328">
        <f ca="1">IF(ISBLANK(Table1[[#This Row],[CancelDate]]),DATEDIF(Table1[[#This Row],[JoinDate]],TODAY(),"M"),DATEDIF(Table1[[#This Row],[JoinDate]],Table1[[#This Row],[CancelDate]],"M"))</f>
        <v>2</v>
      </c>
      <c r="N328" t="str">
        <f>IF(Table1[[#This Row],[EngagementScore]]&lt;=40,"Low",IF(Table1[[#This Row],[EngagementScore]]&lt;=70,"Medium","High"))</f>
        <v>Low</v>
      </c>
      <c r="O328" t="str">
        <f>IF(Table1[[#This Row],[Age]]&lt;25,"18-24",
IF(Table1[[#This Row],[Age]]&lt;35,"25-34",
IF(Table1[[#This Row],[Age]]&lt;45,"35-44","45+")))</f>
        <v>25-34</v>
      </c>
    </row>
    <row r="329" spans="1:15" x14ac:dyDescent="0.25">
      <c r="A329" t="s">
        <v>338</v>
      </c>
      <c r="B329" s="4">
        <v>44822</v>
      </c>
      <c r="D329">
        <v>33</v>
      </c>
      <c r="E329" t="s">
        <v>911</v>
      </c>
      <c r="F329" t="s">
        <v>918</v>
      </c>
      <c r="G329" t="s">
        <v>920</v>
      </c>
      <c r="H329">
        <v>2971.28</v>
      </c>
      <c r="I329">
        <v>2</v>
      </c>
      <c r="J329">
        <v>16</v>
      </c>
      <c r="K329" t="s">
        <v>923</v>
      </c>
      <c r="L329" t="str">
        <f>IF(ISBLANK(Table1[[#This Row],[CancelDate]]),"Active","Churned")</f>
        <v>Active</v>
      </c>
      <c r="M329">
        <f ca="1">IF(ISBLANK(Table1[[#This Row],[CancelDate]]),DATEDIF(Table1[[#This Row],[JoinDate]],TODAY(),"M"),DATEDIF(Table1[[#This Row],[JoinDate]],Table1[[#This Row],[CancelDate]],"M"))</f>
        <v>42</v>
      </c>
      <c r="N329" t="str">
        <f>IF(Table1[[#This Row],[EngagementScore]]&lt;=40,"Low",IF(Table1[[#This Row],[EngagementScore]]&lt;=70,"Medium","High"))</f>
        <v>Low</v>
      </c>
      <c r="O329" t="str">
        <f>IF(Table1[[#This Row],[Age]]&lt;25,"18-24",
IF(Table1[[#This Row],[Age]]&lt;35,"25-34",
IF(Table1[[#This Row],[Age]]&lt;45,"35-44","45+")))</f>
        <v>25-34</v>
      </c>
    </row>
    <row r="330" spans="1:15" x14ac:dyDescent="0.25">
      <c r="A330" t="s">
        <v>339</v>
      </c>
      <c r="B330" s="4">
        <v>44606</v>
      </c>
      <c r="D330">
        <v>29</v>
      </c>
      <c r="E330" t="s">
        <v>911</v>
      </c>
      <c r="F330" t="s">
        <v>914</v>
      </c>
      <c r="G330" t="s">
        <v>922</v>
      </c>
      <c r="H330">
        <v>20130.45</v>
      </c>
      <c r="I330">
        <v>18</v>
      </c>
      <c r="J330">
        <v>89</v>
      </c>
      <c r="K330" t="s">
        <v>923</v>
      </c>
      <c r="L330" t="str">
        <f>IF(ISBLANK(Table1[[#This Row],[CancelDate]]),"Active","Churned")</f>
        <v>Active</v>
      </c>
      <c r="M330">
        <f ca="1">IF(ISBLANK(Table1[[#This Row],[CancelDate]]),DATEDIF(Table1[[#This Row],[JoinDate]],TODAY(),"M"),DATEDIF(Table1[[#This Row],[JoinDate]],Table1[[#This Row],[CancelDate]],"M"))</f>
        <v>49</v>
      </c>
      <c r="N330" t="str">
        <f>IF(Table1[[#This Row],[EngagementScore]]&lt;=40,"Low",IF(Table1[[#This Row],[EngagementScore]]&lt;=70,"Medium","High"))</f>
        <v>High</v>
      </c>
      <c r="O330" t="str">
        <f>IF(Table1[[#This Row],[Age]]&lt;25,"18-24",
IF(Table1[[#This Row],[Age]]&lt;35,"25-34",
IF(Table1[[#This Row],[Age]]&lt;45,"35-44","45+")))</f>
        <v>25-34</v>
      </c>
    </row>
    <row r="331" spans="1:15" x14ac:dyDescent="0.25">
      <c r="A331" t="s">
        <v>340</v>
      </c>
      <c r="B331" s="4">
        <v>44873</v>
      </c>
      <c r="D331">
        <v>27</v>
      </c>
      <c r="E331" t="s">
        <v>913</v>
      </c>
      <c r="F331" t="s">
        <v>918</v>
      </c>
      <c r="G331" t="s">
        <v>922</v>
      </c>
      <c r="H331">
        <v>7289.96</v>
      </c>
      <c r="I331">
        <v>4</v>
      </c>
      <c r="J331">
        <v>33</v>
      </c>
      <c r="K331" t="s">
        <v>923</v>
      </c>
      <c r="L331" t="str">
        <f>IF(ISBLANK(Table1[[#This Row],[CancelDate]]),"Active","Churned")</f>
        <v>Active</v>
      </c>
      <c r="M331">
        <f ca="1">IF(ISBLANK(Table1[[#This Row],[CancelDate]]),DATEDIF(Table1[[#This Row],[JoinDate]],TODAY(),"M"),DATEDIF(Table1[[#This Row],[JoinDate]],Table1[[#This Row],[CancelDate]],"M"))</f>
        <v>40</v>
      </c>
      <c r="N331" t="str">
        <f>IF(Table1[[#This Row],[EngagementScore]]&lt;=40,"Low",IF(Table1[[#This Row],[EngagementScore]]&lt;=70,"Medium","High"))</f>
        <v>Low</v>
      </c>
      <c r="O331" t="str">
        <f>IF(Table1[[#This Row],[Age]]&lt;25,"18-24",
IF(Table1[[#This Row],[Age]]&lt;35,"25-34",
IF(Table1[[#This Row],[Age]]&lt;45,"35-44","45+")))</f>
        <v>25-34</v>
      </c>
    </row>
    <row r="332" spans="1:15" x14ac:dyDescent="0.25">
      <c r="A332" t="s">
        <v>341</v>
      </c>
      <c r="B332" s="4">
        <v>44838</v>
      </c>
      <c r="C332" s="1">
        <v>45174</v>
      </c>
      <c r="D332">
        <v>53</v>
      </c>
      <c r="E332" t="s">
        <v>912</v>
      </c>
      <c r="F332" t="s">
        <v>914</v>
      </c>
      <c r="G332" t="s">
        <v>921</v>
      </c>
      <c r="H332">
        <v>14907.06</v>
      </c>
      <c r="I332">
        <v>7</v>
      </c>
      <c r="J332">
        <v>51</v>
      </c>
      <c r="K332" t="s">
        <v>913</v>
      </c>
      <c r="L332" t="str">
        <f>IF(ISBLANK(Table1[[#This Row],[CancelDate]]),"Active","Churned")</f>
        <v>Churned</v>
      </c>
      <c r="M332">
        <f ca="1">IF(ISBLANK(Table1[[#This Row],[CancelDate]]),DATEDIF(Table1[[#This Row],[JoinDate]],TODAY(),"M"),DATEDIF(Table1[[#This Row],[JoinDate]],Table1[[#This Row],[CancelDate]],"M"))</f>
        <v>11</v>
      </c>
      <c r="N332" t="str">
        <f>IF(Table1[[#This Row],[EngagementScore]]&lt;=40,"Low",IF(Table1[[#This Row],[EngagementScore]]&lt;=70,"Medium","High"))</f>
        <v>Medium</v>
      </c>
      <c r="O332" t="str">
        <f>IF(Table1[[#This Row],[Age]]&lt;25,"18-24",
IF(Table1[[#This Row],[Age]]&lt;35,"25-34",
IF(Table1[[#This Row],[Age]]&lt;45,"35-44","45+")))</f>
        <v>45+</v>
      </c>
    </row>
    <row r="333" spans="1:15" x14ac:dyDescent="0.25">
      <c r="A333" t="s">
        <v>342</v>
      </c>
      <c r="B333" s="4">
        <v>45373</v>
      </c>
      <c r="D333">
        <v>34</v>
      </c>
      <c r="E333" t="s">
        <v>911</v>
      </c>
      <c r="F333" t="s">
        <v>917</v>
      </c>
      <c r="G333" t="s">
        <v>921</v>
      </c>
      <c r="H333">
        <v>15372.3</v>
      </c>
      <c r="I333">
        <v>16</v>
      </c>
      <c r="J333">
        <v>81</v>
      </c>
      <c r="K333" t="s">
        <v>925</v>
      </c>
      <c r="L333" t="str">
        <f>IF(ISBLANK(Table1[[#This Row],[CancelDate]]),"Active","Churned")</f>
        <v>Active</v>
      </c>
      <c r="M333">
        <f ca="1">IF(ISBLANK(Table1[[#This Row],[CancelDate]]),DATEDIF(Table1[[#This Row],[JoinDate]],TODAY(),"M"),DATEDIF(Table1[[#This Row],[JoinDate]],Table1[[#This Row],[CancelDate]],"M"))</f>
        <v>24</v>
      </c>
      <c r="N333" t="str">
        <f>IF(Table1[[#This Row],[EngagementScore]]&lt;=40,"Low",IF(Table1[[#This Row],[EngagementScore]]&lt;=70,"Medium","High"))</f>
        <v>High</v>
      </c>
      <c r="O333" t="str">
        <f>IF(Table1[[#This Row],[Age]]&lt;25,"18-24",
IF(Table1[[#This Row],[Age]]&lt;35,"25-34",
IF(Table1[[#This Row],[Age]]&lt;45,"35-44","45+")))</f>
        <v>25-34</v>
      </c>
    </row>
    <row r="334" spans="1:15" x14ac:dyDescent="0.25">
      <c r="A334" t="s">
        <v>343</v>
      </c>
      <c r="B334" s="4">
        <v>44995</v>
      </c>
      <c r="D334">
        <v>50</v>
      </c>
      <c r="E334" t="s">
        <v>911</v>
      </c>
      <c r="F334" t="s">
        <v>917</v>
      </c>
      <c r="G334" t="s">
        <v>922</v>
      </c>
      <c r="H334">
        <v>14886.12</v>
      </c>
      <c r="I334">
        <v>9</v>
      </c>
      <c r="J334">
        <v>69</v>
      </c>
      <c r="K334" t="s">
        <v>923</v>
      </c>
      <c r="L334" t="str">
        <f>IF(ISBLANK(Table1[[#This Row],[CancelDate]]),"Active","Churned")</f>
        <v>Active</v>
      </c>
      <c r="M334">
        <f ca="1">IF(ISBLANK(Table1[[#This Row],[CancelDate]]),DATEDIF(Table1[[#This Row],[JoinDate]],TODAY(),"M"),DATEDIF(Table1[[#This Row],[JoinDate]],Table1[[#This Row],[CancelDate]],"M"))</f>
        <v>36</v>
      </c>
      <c r="N334" t="str">
        <f>IF(Table1[[#This Row],[EngagementScore]]&lt;=40,"Low",IF(Table1[[#This Row],[EngagementScore]]&lt;=70,"Medium","High"))</f>
        <v>Medium</v>
      </c>
      <c r="O334" t="str">
        <f>IF(Table1[[#This Row],[Age]]&lt;25,"18-24",
IF(Table1[[#This Row],[Age]]&lt;35,"25-34",
IF(Table1[[#This Row],[Age]]&lt;45,"35-44","45+")))</f>
        <v>45+</v>
      </c>
    </row>
    <row r="335" spans="1:15" x14ac:dyDescent="0.25">
      <c r="A335" t="s">
        <v>344</v>
      </c>
      <c r="B335" s="4">
        <v>44836</v>
      </c>
      <c r="C335" s="1">
        <v>45087</v>
      </c>
      <c r="D335">
        <v>30</v>
      </c>
      <c r="E335" t="s">
        <v>911</v>
      </c>
      <c r="F335" t="s">
        <v>916</v>
      </c>
      <c r="G335" t="s">
        <v>921</v>
      </c>
      <c r="H335">
        <v>17138.21</v>
      </c>
      <c r="I335">
        <v>14</v>
      </c>
      <c r="J335">
        <v>70</v>
      </c>
      <c r="K335" t="s">
        <v>925</v>
      </c>
      <c r="L335" t="str">
        <f>IF(ISBLANK(Table1[[#This Row],[CancelDate]]),"Active","Churned")</f>
        <v>Churned</v>
      </c>
      <c r="M335">
        <f ca="1">IF(ISBLANK(Table1[[#This Row],[CancelDate]]),DATEDIF(Table1[[#This Row],[JoinDate]],TODAY(),"M"),DATEDIF(Table1[[#This Row],[JoinDate]],Table1[[#This Row],[CancelDate]],"M"))</f>
        <v>8</v>
      </c>
      <c r="N335" t="str">
        <f>IF(Table1[[#This Row],[EngagementScore]]&lt;=40,"Low",IF(Table1[[#This Row],[EngagementScore]]&lt;=70,"Medium","High"))</f>
        <v>Medium</v>
      </c>
      <c r="O335" t="str">
        <f>IF(Table1[[#This Row],[Age]]&lt;25,"18-24",
IF(Table1[[#This Row],[Age]]&lt;35,"25-34",
IF(Table1[[#This Row],[Age]]&lt;45,"35-44","45+")))</f>
        <v>25-34</v>
      </c>
    </row>
    <row r="336" spans="1:15" x14ac:dyDescent="0.25">
      <c r="A336" t="s">
        <v>345</v>
      </c>
      <c r="B336" s="4">
        <v>44746</v>
      </c>
      <c r="D336">
        <v>32</v>
      </c>
      <c r="E336" t="s">
        <v>911</v>
      </c>
      <c r="F336" t="s">
        <v>919</v>
      </c>
      <c r="G336" t="s">
        <v>922</v>
      </c>
      <c r="H336">
        <v>24494.73</v>
      </c>
      <c r="I336">
        <v>21</v>
      </c>
      <c r="J336">
        <v>95</v>
      </c>
      <c r="K336" t="s">
        <v>923</v>
      </c>
      <c r="L336" t="str">
        <f>IF(ISBLANK(Table1[[#This Row],[CancelDate]]),"Active","Churned")</f>
        <v>Active</v>
      </c>
      <c r="M336">
        <f ca="1">IF(ISBLANK(Table1[[#This Row],[CancelDate]]),DATEDIF(Table1[[#This Row],[JoinDate]],TODAY(),"M"),DATEDIF(Table1[[#This Row],[JoinDate]],Table1[[#This Row],[CancelDate]],"M"))</f>
        <v>44</v>
      </c>
      <c r="N336" t="str">
        <f>IF(Table1[[#This Row],[EngagementScore]]&lt;=40,"Low",IF(Table1[[#This Row],[EngagementScore]]&lt;=70,"Medium","High"))</f>
        <v>High</v>
      </c>
      <c r="O336" t="str">
        <f>IF(Table1[[#This Row],[Age]]&lt;25,"18-24",
IF(Table1[[#This Row],[Age]]&lt;35,"25-34",
IF(Table1[[#This Row],[Age]]&lt;45,"35-44","45+")))</f>
        <v>25-34</v>
      </c>
    </row>
    <row r="337" spans="1:15" x14ac:dyDescent="0.25">
      <c r="A337" t="s">
        <v>346</v>
      </c>
      <c r="B337" s="4">
        <v>45223</v>
      </c>
      <c r="D337">
        <v>29</v>
      </c>
      <c r="E337" t="s">
        <v>912</v>
      </c>
      <c r="F337" t="s">
        <v>918</v>
      </c>
      <c r="G337" t="s">
        <v>922</v>
      </c>
      <c r="H337">
        <v>2987.12</v>
      </c>
      <c r="I337">
        <v>5</v>
      </c>
      <c r="J337">
        <v>30</v>
      </c>
      <c r="K337" t="s">
        <v>925</v>
      </c>
      <c r="L337" t="str">
        <f>IF(ISBLANK(Table1[[#This Row],[CancelDate]]),"Active","Churned")</f>
        <v>Active</v>
      </c>
      <c r="M337">
        <f ca="1">IF(ISBLANK(Table1[[#This Row],[CancelDate]]),DATEDIF(Table1[[#This Row],[JoinDate]],TODAY(),"M"),DATEDIF(Table1[[#This Row],[JoinDate]],Table1[[#This Row],[CancelDate]],"M"))</f>
        <v>29</v>
      </c>
      <c r="N337" t="str">
        <f>IF(Table1[[#This Row],[EngagementScore]]&lt;=40,"Low",IF(Table1[[#This Row],[EngagementScore]]&lt;=70,"Medium","High"))</f>
        <v>Low</v>
      </c>
      <c r="O337" t="str">
        <f>IF(Table1[[#This Row],[Age]]&lt;25,"18-24",
IF(Table1[[#This Row],[Age]]&lt;35,"25-34",
IF(Table1[[#This Row],[Age]]&lt;45,"35-44","45+")))</f>
        <v>25-34</v>
      </c>
    </row>
    <row r="338" spans="1:15" x14ac:dyDescent="0.25">
      <c r="A338" t="s">
        <v>347</v>
      </c>
      <c r="B338" s="4">
        <v>44683</v>
      </c>
      <c r="D338">
        <v>47</v>
      </c>
      <c r="E338" t="s">
        <v>912</v>
      </c>
      <c r="F338" t="s">
        <v>914</v>
      </c>
      <c r="G338" t="s">
        <v>920</v>
      </c>
      <c r="H338">
        <v>6985.62</v>
      </c>
      <c r="I338">
        <v>1</v>
      </c>
      <c r="J338">
        <v>35</v>
      </c>
      <c r="K338" t="s">
        <v>925</v>
      </c>
      <c r="L338" t="str">
        <f>IF(ISBLANK(Table1[[#This Row],[CancelDate]]),"Active","Churned")</f>
        <v>Active</v>
      </c>
      <c r="M338">
        <f ca="1">IF(ISBLANK(Table1[[#This Row],[CancelDate]]),DATEDIF(Table1[[#This Row],[JoinDate]],TODAY(),"M"),DATEDIF(Table1[[#This Row],[JoinDate]],Table1[[#This Row],[CancelDate]],"M"))</f>
        <v>47</v>
      </c>
      <c r="N338" t="str">
        <f>IF(Table1[[#This Row],[EngagementScore]]&lt;=40,"Low",IF(Table1[[#This Row],[EngagementScore]]&lt;=70,"Medium","High"))</f>
        <v>Low</v>
      </c>
      <c r="O338" t="str">
        <f>IF(Table1[[#This Row],[Age]]&lt;25,"18-24",
IF(Table1[[#This Row],[Age]]&lt;35,"25-34",
IF(Table1[[#This Row],[Age]]&lt;45,"35-44","45+")))</f>
        <v>45+</v>
      </c>
    </row>
    <row r="339" spans="1:15" x14ac:dyDescent="0.25">
      <c r="A339" t="s">
        <v>348</v>
      </c>
      <c r="B339" s="4">
        <v>44968</v>
      </c>
      <c r="D339">
        <v>53</v>
      </c>
      <c r="E339" t="s">
        <v>911</v>
      </c>
      <c r="F339" t="s">
        <v>915</v>
      </c>
      <c r="G339" t="s">
        <v>921</v>
      </c>
      <c r="H339">
        <v>14793.67</v>
      </c>
      <c r="I339">
        <v>10</v>
      </c>
      <c r="J339">
        <v>43</v>
      </c>
      <c r="K339" t="s">
        <v>923</v>
      </c>
      <c r="L339" t="str">
        <f>IF(ISBLANK(Table1[[#This Row],[CancelDate]]),"Active","Churned")</f>
        <v>Active</v>
      </c>
      <c r="M339">
        <f ca="1">IF(ISBLANK(Table1[[#This Row],[CancelDate]]),DATEDIF(Table1[[#This Row],[JoinDate]],TODAY(),"M"),DATEDIF(Table1[[#This Row],[JoinDate]],Table1[[#This Row],[CancelDate]],"M"))</f>
        <v>37</v>
      </c>
      <c r="N339" t="str">
        <f>IF(Table1[[#This Row],[EngagementScore]]&lt;=40,"Low",IF(Table1[[#This Row],[EngagementScore]]&lt;=70,"Medium","High"))</f>
        <v>Medium</v>
      </c>
      <c r="O339" t="str">
        <f>IF(Table1[[#This Row],[Age]]&lt;25,"18-24",
IF(Table1[[#This Row],[Age]]&lt;35,"25-34",
IF(Table1[[#This Row],[Age]]&lt;45,"35-44","45+")))</f>
        <v>45+</v>
      </c>
    </row>
    <row r="340" spans="1:15" x14ac:dyDescent="0.25">
      <c r="A340" t="s">
        <v>349</v>
      </c>
      <c r="B340" s="4">
        <v>44580</v>
      </c>
      <c r="D340">
        <v>36</v>
      </c>
      <c r="E340" t="s">
        <v>911</v>
      </c>
      <c r="F340" t="s">
        <v>919</v>
      </c>
      <c r="G340" t="s">
        <v>921</v>
      </c>
      <c r="H340">
        <v>12778.55</v>
      </c>
      <c r="I340">
        <v>14</v>
      </c>
      <c r="J340">
        <v>70</v>
      </c>
      <c r="K340" t="s">
        <v>925</v>
      </c>
      <c r="L340" t="str">
        <f>IF(ISBLANK(Table1[[#This Row],[CancelDate]]),"Active","Churned")</f>
        <v>Active</v>
      </c>
      <c r="M340">
        <f ca="1">IF(ISBLANK(Table1[[#This Row],[CancelDate]]),DATEDIF(Table1[[#This Row],[JoinDate]],TODAY(),"M"),DATEDIF(Table1[[#This Row],[JoinDate]],Table1[[#This Row],[CancelDate]],"M"))</f>
        <v>50</v>
      </c>
      <c r="N340" t="str">
        <f>IF(Table1[[#This Row],[EngagementScore]]&lt;=40,"Low",IF(Table1[[#This Row],[EngagementScore]]&lt;=70,"Medium","High"))</f>
        <v>Medium</v>
      </c>
      <c r="O340" t="str">
        <f>IF(Table1[[#This Row],[Age]]&lt;25,"18-24",
IF(Table1[[#This Row],[Age]]&lt;35,"25-34",
IF(Table1[[#This Row],[Age]]&lt;45,"35-44","45+")))</f>
        <v>35-44</v>
      </c>
    </row>
    <row r="341" spans="1:15" x14ac:dyDescent="0.25">
      <c r="A341" t="s">
        <v>350</v>
      </c>
      <c r="B341" s="4">
        <v>45433</v>
      </c>
      <c r="D341">
        <v>34</v>
      </c>
      <c r="E341" t="s">
        <v>912</v>
      </c>
      <c r="F341" t="s">
        <v>918</v>
      </c>
      <c r="G341" t="s">
        <v>921</v>
      </c>
      <c r="H341">
        <v>21208.83</v>
      </c>
      <c r="I341">
        <v>20</v>
      </c>
      <c r="J341">
        <v>70</v>
      </c>
      <c r="K341" t="s">
        <v>923</v>
      </c>
      <c r="L341" t="str">
        <f>IF(ISBLANK(Table1[[#This Row],[CancelDate]]),"Active","Churned")</f>
        <v>Active</v>
      </c>
      <c r="M341">
        <f ca="1">IF(ISBLANK(Table1[[#This Row],[CancelDate]]),DATEDIF(Table1[[#This Row],[JoinDate]],TODAY(),"M"),DATEDIF(Table1[[#This Row],[JoinDate]],Table1[[#This Row],[CancelDate]],"M"))</f>
        <v>22</v>
      </c>
      <c r="N341" t="str">
        <f>IF(Table1[[#This Row],[EngagementScore]]&lt;=40,"Low",IF(Table1[[#This Row],[EngagementScore]]&lt;=70,"Medium","High"))</f>
        <v>Medium</v>
      </c>
      <c r="O341" t="str">
        <f>IF(Table1[[#This Row],[Age]]&lt;25,"18-24",
IF(Table1[[#This Row],[Age]]&lt;35,"25-34",
IF(Table1[[#This Row],[Age]]&lt;45,"35-44","45+")))</f>
        <v>25-34</v>
      </c>
    </row>
    <row r="342" spans="1:15" x14ac:dyDescent="0.25">
      <c r="A342" t="s">
        <v>351</v>
      </c>
      <c r="B342" s="4">
        <v>44809</v>
      </c>
      <c r="D342">
        <v>39</v>
      </c>
      <c r="E342" t="s">
        <v>911</v>
      </c>
      <c r="F342" t="s">
        <v>914</v>
      </c>
      <c r="G342" t="s">
        <v>922</v>
      </c>
      <c r="H342">
        <v>20724.53</v>
      </c>
      <c r="I342">
        <v>21</v>
      </c>
      <c r="J342">
        <v>93</v>
      </c>
      <c r="K342" t="s">
        <v>923</v>
      </c>
      <c r="L342" t="str">
        <f>IF(ISBLANK(Table1[[#This Row],[CancelDate]]),"Active","Churned")</f>
        <v>Active</v>
      </c>
      <c r="M342">
        <f ca="1">IF(ISBLANK(Table1[[#This Row],[CancelDate]]),DATEDIF(Table1[[#This Row],[JoinDate]],TODAY(),"M"),DATEDIF(Table1[[#This Row],[JoinDate]],Table1[[#This Row],[CancelDate]],"M"))</f>
        <v>42</v>
      </c>
      <c r="N342" t="str">
        <f>IF(Table1[[#This Row],[EngagementScore]]&lt;=40,"Low",IF(Table1[[#This Row],[EngagementScore]]&lt;=70,"Medium","High"))</f>
        <v>High</v>
      </c>
      <c r="O342" t="str">
        <f>IF(Table1[[#This Row],[Age]]&lt;25,"18-24",
IF(Table1[[#This Row],[Age]]&lt;35,"25-34",
IF(Table1[[#This Row],[Age]]&lt;45,"35-44","45+")))</f>
        <v>35-44</v>
      </c>
    </row>
    <row r="343" spans="1:15" x14ac:dyDescent="0.25">
      <c r="A343" t="s">
        <v>352</v>
      </c>
      <c r="B343" s="4">
        <v>44567</v>
      </c>
      <c r="C343" s="1">
        <v>44763</v>
      </c>
      <c r="D343">
        <v>43</v>
      </c>
      <c r="E343" t="s">
        <v>911</v>
      </c>
      <c r="F343" t="s">
        <v>915</v>
      </c>
      <c r="G343" t="s">
        <v>921</v>
      </c>
      <c r="H343">
        <v>24908.21</v>
      </c>
      <c r="I343">
        <v>13</v>
      </c>
      <c r="J343">
        <v>82</v>
      </c>
      <c r="K343" t="s">
        <v>925</v>
      </c>
      <c r="L343" t="str">
        <f>IF(ISBLANK(Table1[[#This Row],[CancelDate]]),"Active","Churned")</f>
        <v>Churned</v>
      </c>
      <c r="M343">
        <f ca="1">IF(ISBLANK(Table1[[#This Row],[CancelDate]]),DATEDIF(Table1[[#This Row],[JoinDate]],TODAY(),"M"),DATEDIF(Table1[[#This Row],[JoinDate]],Table1[[#This Row],[CancelDate]],"M"))</f>
        <v>6</v>
      </c>
      <c r="N343" t="str">
        <f>IF(Table1[[#This Row],[EngagementScore]]&lt;=40,"Low",IF(Table1[[#This Row],[EngagementScore]]&lt;=70,"Medium","High"))</f>
        <v>High</v>
      </c>
      <c r="O343" t="str">
        <f>IF(Table1[[#This Row],[Age]]&lt;25,"18-24",
IF(Table1[[#This Row],[Age]]&lt;35,"25-34",
IF(Table1[[#This Row],[Age]]&lt;45,"35-44","45+")))</f>
        <v>35-44</v>
      </c>
    </row>
    <row r="344" spans="1:15" x14ac:dyDescent="0.25">
      <c r="A344" t="s">
        <v>353</v>
      </c>
      <c r="B344" s="4">
        <v>45207</v>
      </c>
      <c r="C344" s="1">
        <v>45564</v>
      </c>
      <c r="D344">
        <v>52</v>
      </c>
      <c r="E344" t="s">
        <v>911</v>
      </c>
      <c r="F344" t="s">
        <v>916</v>
      </c>
      <c r="G344" t="s">
        <v>922</v>
      </c>
      <c r="H344">
        <v>2178.6799999999998</v>
      </c>
      <c r="I344">
        <v>7</v>
      </c>
      <c r="J344">
        <v>20</v>
      </c>
      <c r="K344" t="s">
        <v>923</v>
      </c>
      <c r="L344" t="str">
        <f>IF(ISBLANK(Table1[[#This Row],[CancelDate]]),"Active","Churned")</f>
        <v>Churned</v>
      </c>
      <c r="M344">
        <f ca="1">IF(ISBLANK(Table1[[#This Row],[CancelDate]]),DATEDIF(Table1[[#This Row],[JoinDate]],TODAY(),"M"),DATEDIF(Table1[[#This Row],[JoinDate]],Table1[[#This Row],[CancelDate]],"M"))</f>
        <v>11</v>
      </c>
      <c r="N344" t="str">
        <f>IF(Table1[[#This Row],[EngagementScore]]&lt;=40,"Low",IF(Table1[[#This Row],[EngagementScore]]&lt;=70,"Medium","High"))</f>
        <v>Low</v>
      </c>
      <c r="O344" t="str">
        <f>IF(Table1[[#This Row],[Age]]&lt;25,"18-24",
IF(Table1[[#This Row],[Age]]&lt;35,"25-34",
IF(Table1[[#This Row],[Age]]&lt;45,"35-44","45+")))</f>
        <v>45+</v>
      </c>
    </row>
    <row r="345" spans="1:15" x14ac:dyDescent="0.25">
      <c r="A345" t="s">
        <v>354</v>
      </c>
      <c r="B345" s="4">
        <v>45400</v>
      </c>
      <c r="C345" s="1">
        <v>45677</v>
      </c>
      <c r="D345">
        <v>28</v>
      </c>
      <c r="E345" t="s">
        <v>912</v>
      </c>
      <c r="F345" t="s">
        <v>918</v>
      </c>
      <c r="G345" t="s">
        <v>922</v>
      </c>
      <c r="H345">
        <v>6487.27</v>
      </c>
      <c r="I345">
        <v>7</v>
      </c>
      <c r="J345">
        <v>41</v>
      </c>
      <c r="K345" t="s">
        <v>925</v>
      </c>
      <c r="L345" t="str">
        <f>IF(ISBLANK(Table1[[#This Row],[CancelDate]]),"Active","Churned")</f>
        <v>Churned</v>
      </c>
      <c r="M345">
        <f ca="1">IF(ISBLANK(Table1[[#This Row],[CancelDate]]),DATEDIF(Table1[[#This Row],[JoinDate]],TODAY(),"M"),DATEDIF(Table1[[#This Row],[JoinDate]],Table1[[#This Row],[CancelDate]],"M"))</f>
        <v>9</v>
      </c>
      <c r="N345" t="str">
        <f>IF(Table1[[#This Row],[EngagementScore]]&lt;=40,"Low",IF(Table1[[#This Row],[EngagementScore]]&lt;=70,"Medium","High"))</f>
        <v>Medium</v>
      </c>
      <c r="O345" t="str">
        <f>IF(Table1[[#This Row],[Age]]&lt;25,"18-24",
IF(Table1[[#This Row],[Age]]&lt;35,"25-34",
IF(Table1[[#This Row],[Age]]&lt;45,"35-44","45+")))</f>
        <v>25-34</v>
      </c>
    </row>
    <row r="346" spans="1:15" x14ac:dyDescent="0.25">
      <c r="A346" t="s">
        <v>355</v>
      </c>
      <c r="B346" s="4">
        <v>45041</v>
      </c>
      <c r="C346" s="1">
        <v>45189</v>
      </c>
      <c r="D346">
        <v>45</v>
      </c>
      <c r="E346" t="s">
        <v>911</v>
      </c>
      <c r="F346" t="s">
        <v>916</v>
      </c>
      <c r="G346" t="s">
        <v>921</v>
      </c>
      <c r="H346">
        <v>7887.47</v>
      </c>
      <c r="I346">
        <v>5</v>
      </c>
      <c r="J346">
        <v>39</v>
      </c>
      <c r="K346" t="s">
        <v>925</v>
      </c>
      <c r="L346" t="str">
        <f>IF(ISBLANK(Table1[[#This Row],[CancelDate]]),"Active","Churned")</f>
        <v>Churned</v>
      </c>
      <c r="M346">
        <f ca="1">IF(ISBLANK(Table1[[#This Row],[CancelDate]]),DATEDIF(Table1[[#This Row],[JoinDate]],TODAY(),"M"),DATEDIF(Table1[[#This Row],[JoinDate]],Table1[[#This Row],[CancelDate]],"M"))</f>
        <v>4</v>
      </c>
      <c r="N346" t="str">
        <f>IF(Table1[[#This Row],[EngagementScore]]&lt;=40,"Low",IF(Table1[[#This Row],[EngagementScore]]&lt;=70,"Medium","High"))</f>
        <v>Low</v>
      </c>
      <c r="O346" t="str">
        <f>IF(Table1[[#This Row],[Age]]&lt;25,"18-24",
IF(Table1[[#This Row],[Age]]&lt;35,"25-34",
IF(Table1[[#This Row],[Age]]&lt;45,"35-44","45+")))</f>
        <v>45+</v>
      </c>
    </row>
    <row r="347" spans="1:15" x14ac:dyDescent="0.25">
      <c r="A347" t="s">
        <v>356</v>
      </c>
      <c r="B347" s="4">
        <v>44719</v>
      </c>
      <c r="D347">
        <v>35</v>
      </c>
      <c r="E347" t="s">
        <v>913</v>
      </c>
      <c r="F347" t="s">
        <v>916</v>
      </c>
      <c r="G347" t="s">
        <v>922</v>
      </c>
      <c r="H347">
        <v>13024.87</v>
      </c>
      <c r="I347">
        <v>22</v>
      </c>
      <c r="J347">
        <v>72</v>
      </c>
      <c r="K347" t="s">
        <v>923</v>
      </c>
      <c r="L347" t="str">
        <f>IF(ISBLANK(Table1[[#This Row],[CancelDate]]),"Active","Churned")</f>
        <v>Active</v>
      </c>
      <c r="M347">
        <f ca="1">IF(ISBLANK(Table1[[#This Row],[CancelDate]]),DATEDIF(Table1[[#This Row],[JoinDate]],TODAY(),"M"),DATEDIF(Table1[[#This Row],[JoinDate]],Table1[[#This Row],[CancelDate]],"M"))</f>
        <v>45</v>
      </c>
      <c r="N347" t="str">
        <f>IF(Table1[[#This Row],[EngagementScore]]&lt;=40,"Low",IF(Table1[[#This Row],[EngagementScore]]&lt;=70,"Medium","High"))</f>
        <v>High</v>
      </c>
      <c r="O347" t="str">
        <f>IF(Table1[[#This Row],[Age]]&lt;25,"18-24",
IF(Table1[[#This Row],[Age]]&lt;35,"25-34",
IF(Table1[[#This Row],[Age]]&lt;45,"35-44","45+")))</f>
        <v>35-44</v>
      </c>
    </row>
    <row r="348" spans="1:15" x14ac:dyDescent="0.25">
      <c r="A348" t="s">
        <v>357</v>
      </c>
      <c r="B348" s="4">
        <v>44962</v>
      </c>
      <c r="C348" s="1">
        <v>45062</v>
      </c>
      <c r="D348">
        <v>25</v>
      </c>
      <c r="E348" t="s">
        <v>912</v>
      </c>
      <c r="F348" t="s">
        <v>919</v>
      </c>
      <c r="G348" t="s">
        <v>921</v>
      </c>
      <c r="H348">
        <v>13138.66</v>
      </c>
      <c r="I348">
        <v>6</v>
      </c>
      <c r="J348">
        <v>57</v>
      </c>
      <c r="K348" t="s">
        <v>925</v>
      </c>
      <c r="L348" t="str">
        <f>IF(ISBLANK(Table1[[#This Row],[CancelDate]]),"Active","Churned")</f>
        <v>Churned</v>
      </c>
      <c r="M348">
        <f ca="1">IF(ISBLANK(Table1[[#This Row],[CancelDate]]),DATEDIF(Table1[[#This Row],[JoinDate]],TODAY(),"M"),DATEDIF(Table1[[#This Row],[JoinDate]],Table1[[#This Row],[CancelDate]],"M"))</f>
        <v>3</v>
      </c>
      <c r="N348" t="str">
        <f>IF(Table1[[#This Row],[EngagementScore]]&lt;=40,"Low",IF(Table1[[#This Row],[EngagementScore]]&lt;=70,"Medium","High"))</f>
        <v>Medium</v>
      </c>
      <c r="O348" t="str">
        <f>IF(Table1[[#This Row],[Age]]&lt;25,"18-24",
IF(Table1[[#This Row],[Age]]&lt;35,"25-34",
IF(Table1[[#This Row],[Age]]&lt;45,"35-44","45+")))</f>
        <v>25-34</v>
      </c>
    </row>
    <row r="349" spans="1:15" x14ac:dyDescent="0.25">
      <c r="A349" t="s">
        <v>358</v>
      </c>
      <c r="B349" s="4">
        <v>44808</v>
      </c>
      <c r="D349">
        <v>40</v>
      </c>
      <c r="E349" t="s">
        <v>911</v>
      </c>
      <c r="F349" t="s">
        <v>919</v>
      </c>
      <c r="G349" t="s">
        <v>922</v>
      </c>
      <c r="H349">
        <v>10097.43</v>
      </c>
      <c r="I349">
        <v>13</v>
      </c>
      <c r="J349">
        <v>69</v>
      </c>
      <c r="K349" t="s">
        <v>925</v>
      </c>
      <c r="L349" t="str">
        <f>IF(ISBLANK(Table1[[#This Row],[CancelDate]]),"Active","Churned")</f>
        <v>Active</v>
      </c>
      <c r="M349">
        <f ca="1">IF(ISBLANK(Table1[[#This Row],[CancelDate]]),DATEDIF(Table1[[#This Row],[JoinDate]],TODAY(),"M"),DATEDIF(Table1[[#This Row],[JoinDate]],Table1[[#This Row],[CancelDate]],"M"))</f>
        <v>42</v>
      </c>
      <c r="N349" t="str">
        <f>IF(Table1[[#This Row],[EngagementScore]]&lt;=40,"Low",IF(Table1[[#This Row],[EngagementScore]]&lt;=70,"Medium","High"))</f>
        <v>Medium</v>
      </c>
      <c r="O349" t="str">
        <f>IF(Table1[[#This Row],[Age]]&lt;25,"18-24",
IF(Table1[[#This Row],[Age]]&lt;35,"25-34",
IF(Table1[[#This Row],[Age]]&lt;45,"35-44","45+")))</f>
        <v>35-44</v>
      </c>
    </row>
    <row r="350" spans="1:15" x14ac:dyDescent="0.25">
      <c r="A350" t="s">
        <v>359</v>
      </c>
      <c r="B350" s="4">
        <v>44630</v>
      </c>
      <c r="D350">
        <v>56</v>
      </c>
      <c r="E350" t="s">
        <v>911</v>
      </c>
      <c r="F350" t="s">
        <v>918</v>
      </c>
      <c r="G350" t="s">
        <v>921</v>
      </c>
      <c r="H350">
        <v>5910.62</v>
      </c>
      <c r="I350">
        <v>2</v>
      </c>
      <c r="J350">
        <v>19</v>
      </c>
      <c r="K350" t="s">
        <v>925</v>
      </c>
      <c r="L350" t="str">
        <f>IF(ISBLANK(Table1[[#This Row],[CancelDate]]),"Active","Churned")</f>
        <v>Active</v>
      </c>
      <c r="M350">
        <f ca="1">IF(ISBLANK(Table1[[#This Row],[CancelDate]]),DATEDIF(Table1[[#This Row],[JoinDate]],TODAY(),"M"),DATEDIF(Table1[[#This Row],[JoinDate]],Table1[[#This Row],[CancelDate]],"M"))</f>
        <v>48</v>
      </c>
      <c r="N350" t="str">
        <f>IF(Table1[[#This Row],[EngagementScore]]&lt;=40,"Low",IF(Table1[[#This Row],[EngagementScore]]&lt;=70,"Medium","High"))</f>
        <v>Low</v>
      </c>
      <c r="O350" t="str">
        <f>IF(Table1[[#This Row],[Age]]&lt;25,"18-24",
IF(Table1[[#This Row],[Age]]&lt;35,"25-34",
IF(Table1[[#This Row],[Age]]&lt;45,"35-44","45+")))</f>
        <v>45+</v>
      </c>
    </row>
    <row r="351" spans="1:15" x14ac:dyDescent="0.25">
      <c r="A351" t="s">
        <v>360</v>
      </c>
      <c r="B351" s="4">
        <v>44800</v>
      </c>
      <c r="D351">
        <v>45</v>
      </c>
      <c r="E351" t="s">
        <v>912</v>
      </c>
      <c r="F351" t="s">
        <v>919</v>
      </c>
      <c r="G351" t="s">
        <v>920</v>
      </c>
      <c r="H351">
        <v>12694.79</v>
      </c>
      <c r="I351">
        <v>29</v>
      </c>
      <c r="J351">
        <v>96</v>
      </c>
      <c r="K351" t="s">
        <v>923</v>
      </c>
      <c r="L351" t="str">
        <f>IF(ISBLANK(Table1[[#This Row],[CancelDate]]),"Active","Churned")</f>
        <v>Active</v>
      </c>
      <c r="M351">
        <f ca="1">IF(ISBLANK(Table1[[#This Row],[CancelDate]]),DATEDIF(Table1[[#This Row],[JoinDate]],TODAY(),"M"),DATEDIF(Table1[[#This Row],[JoinDate]],Table1[[#This Row],[CancelDate]],"M"))</f>
        <v>43</v>
      </c>
      <c r="N351" t="str">
        <f>IF(Table1[[#This Row],[EngagementScore]]&lt;=40,"Low",IF(Table1[[#This Row],[EngagementScore]]&lt;=70,"Medium","High"))</f>
        <v>High</v>
      </c>
      <c r="O351" t="str">
        <f>IF(Table1[[#This Row],[Age]]&lt;25,"18-24",
IF(Table1[[#This Row],[Age]]&lt;35,"25-34",
IF(Table1[[#This Row],[Age]]&lt;45,"35-44","45+")))</f>
        <v>45+</v>
      </c>
    </row>
    <row r="352" spans="1:15" x14ac:dyDescent="0.25">
      <c r="A352" t="s">
        <v>361</v>
      </c>
      <c r="B352" s="4">
        <v>44664</v>
      </c>
      <c r="C352" s="1">
        <v>44859</v>
      </c>
      <c r="D352">
        <v>21</v>
      </c>
      <c r="E352" t="s">
        <v>912</v>
      </c>
      <c r="F352" t="s">
        <v>918</v>
      </c>
      <c r="G352" t="s">
        <v>921</v>
      </c>
      <c r="H352">
        <v>14679.34</v>
      </c>
      <c r="I352">
        <v>8</v>
      </c>
      <c r="J352">
        <v>49</v>
      </c>
      <c r="K352" t="s">
        <v>923</v>
      </c>
      <c r="L352" t="str">
        <f>IF(ISBLANK(Table1[[#This Row],[CancelDate]]),"Active","Churned")</f>
        <v>Churned</v>
      </c>
      <c r="M352">
        <f ca="1">IF(ISBLANK(Table1[[#This Row],[CancelDate]]),DATEDIF(Table1[[#This Row],[JoinDate]],TODAY(),"M"),DATEDIF(Table1[[#This Row],[JoinDate]],Table1[[#This Row],[CancelDate]],"M"))</f>
        <v>6</v>
      </c>
      <c r="N352" t="str">
        <f>IF(Table1[[#This Row],[EngagementScore]]&lt;=40,"Low",IF(Table1[[#This Row],[EngagementScore]]&lt;=70,"Medium","High"))</f>
        <v>Medium</v>
      </c>
      <c r="O352" t="str">
        <f>IF(Table1[[#This Row],[Age]]&lt;25,"18-24",
IF(Table1[[#This Row],[Age]]&lt;35,"25-34",
IF(Table1[[#This Row],[Age]]&lt;45,"35-44","45+")))</f>
        <v>18-24</v>
      </c>
    </row>
    <row r="353" spans="1:15" x14ac:dyDescent="0.25">
      <c r="A353" t="s">
        <v>362</v>
      </c>
      <c r="B353" s="4">
        <v>45279</v>
      </c>
      <c r="D353">
        <v>31</v>
      </c>
      <c r="E353" t="s">
        <v>911</v>
      </c>
      <c r="F353" t="s">
        <v>918</v>
      </c>
      <c r="G353" t="s">
        <v>921</v>
      </c>
      <c r="H353">
        <v>13801.34</v>
      </c>
      <c r="I353">
        <v>8</v>
      </c>
      <c r="J353">
        <v>63</v>
      </c>
      <c r="K353" t="s">
        <v>925</v>
      </c>
      <c r="L353" t="str">
        <f>IF(ISBLANK(Table1[[#This Row],[CancelDate]]),"Active","Churned")</f>
        <v>Active</v>
      </c>
      <c r="M353">
        <f ca="1">IF(ISBLANK(Table1[[#This Row],[CancelDate]]),DATEDIF(Table1[[#This Row],[JoinDate]],TODAY(),"M"),DATEDIF(Table1[[#This Row],[JoinDate]],Table1[[#This Row],[CancelDate]],"M"))</f>
        <v>27</v>
      </c>
      <c r="N353" t="str">
        <f>IF(Table1[[#This Row],[EngagementScore]]&lt;=40,"Low",IF(Table1[[#This Row],[EngagementScore]]&lt;=70,"Medium","High"))</f>
        <v>Medium</v>
      </c>
      <c r="O353" t="str">
        <f>IF(Table1[[#This Row],[Age]]&lt;25,"18-24",
IF(Table1[[#This Row],[Age]]&lt;35,"25-34",
IF(Table1[[#This Row],[Age]]&lt;45,"35-44","45+")))</f>
        <v>25-34</v>
      </c>
    </row>
    <row r="354" spans="1:15" x14ac:dyDescent="0.25">
      <c r="A354" t="s">
        <v>363</v>
      </c>
      <c r="B354" s="4">
        <v>45012</v>
      </c>
      <c r="D354">
        <v>27</v>
      </c>
      <c r="E354" t="s">
        <v>912</v>
      </c>
      <c r="F354" t="s">
        <v>916</v>
      </c>
      <c r="G354" t="s">
        <v>921</v>
      </c>
      <c r="H354">
        <v>29503.62</v>
      </c>
      <c r="I354">
        <v>13</v>
      </c>
      <c r="J354">
        <v>84</v>
      </c>
      <c r="K354" t="s">
        <v>923</v>
      </c>
      <c r="L354" t="str">
        <f>IF(ISBLANK(Table1[[#This Row],[CancelDate]]),"Active","Churned")</f>
        <v>Active</v>
      </c>
      <c r="M354">
        <f ca="1">IF(ISBLANK(Table1[[#This Row],[CancelDate]]),DATEDIF(Table1[[#This Row],[JoinDate]],TODAY(),"M"),DATEDIF(Table1[[#This Row],[JoinDate]],Table1[[#This Row],[CancelDate]],"M"))</f>
        <v>36</v>
      </c>
      <c r="N354" t="str">
        <f>IF(Table1[[#This Row],[EngagementScore]]&lt;=40,"Low",IF(Table1[[#This Row],[EngagementScore]]&lt;=70,"Medium","High"))</f>
        <v>High</v>
      </c>
      <c r="O354" t="str">
        <f>IF(Table1[[#This Row],[Age]]&lt;25,"18-24",
IF(Table1[[#This Row],[Age]]&lt;35,"25-34",
IF(Table1[[#This Row],[Age]]&lt;45,"35-44","45+")))</f>
        <v>25-34</v>
      </c>
    </row>
    <row r="355" spans="1:15" x14ac:dyDescent="0.25">
      <c r="A355" t="s">
        <v>364</v>
      </c>
      <c r="B355" s="4">
        <v>45384</v>
      </c>
      <c r="D355">
        <v>43</v>
      </c>
      <c r="E355" t="s">
        <v>912</v>
      </c>
      <c r="F355" t="s">
        <v>917</v>
      </c>
      <c r="G355" t="s">
        <v>921</v>
      </c>
      <c r="H355">
        <v>7960.38</v>
      </c>
      <c r="I355">
        <v>11</v>
      </c>
      <c r="J355">
        <v>51</v>
      </c>
      <c r="K355" t="s">
        <v>925</v>
      </c>
      <c r="L355" t="str">
        <f>IF(ISBLANK(Table1[[#This Row],[CancelDate]]),"Active","Churned")</f>
        <v>Active</v>
      </c>
      <c r="M355">
        <f ca="1">IF(ISBLANK(Table1[[#This Row],[CancelDate]]),DATEDIF(Table1[[#This Row],[JoinDate]],TODAY(),"M"),DATEDIF(Table1[[#This Row],[JoinDate]],Table1[[#This Row],[CancelDate]],"M"))</f>
        <v>24</v>
      </c>
      <c r="N355" t="str">
        <f>IF(Table1[[#This Row],[EngagementScore]]&lt;=40,"Low",IF(Table1[[#This Row],[EngagementScore]]&lt;=70,"Medium","High"))</f>
        <v>Medium</v>
      </c>
      <c r="O355" t="str">
        <f>IF(Table1[[#This Row],[Age]]&lt;25,"18-24",
IF(Table1[[#This Row],[Age]]&lt;35,"25-34",
IF(Table1[[#This Row],[Age]]&lt;45,"35-44","45+")))</f>
        <v>35-44</v>
      </c>
    </row>
    <row r="356" spans="1:15" x14ac:dyDescent="0.25">
      <c r="A356" t="s">
        <v>365</v>
      </c>
      <c r="B356" s="4">
        <v>44650</v>
      </c>
      <c r="C356" s="1">
        <v>44721</v>
      </c>
      <c r="D356">
        <v>32</v>
      </c>
      <c r="E356" t="s">
        <v>912</v>
      </c>
      <c r="F356" t="s">
        <v>914</v>
      </c>
      <c r="G356" t="s">
        <v>921</v>
      </c>
      <c r="H356">
        <v>3445.81</v>
      </c>
      <c r="I356">
        <v>5</v>
      </c>
      <c r="J356">
        <v>20</v>
      </c>
      <c r="K356" t="s">
        <v>923</v>
      </c>
      <c r="L356" t="str">
        <f>IF(ISBLANK(Table1[[#This Row],[CancelDate]]),"Active","Churned")</f>
        <v>Churned</v>
      </c>
      <c r="M356">
        <f ca="1">IF(ISBLANK(Table1[[#This Row],[CancelDate]]),DATEDIF(Table1[[#This Row],[JoinDate]],TODAY(),"M"),DATEDIF(Table1[[#This Row],[JoinDate]],Table1[[#This Row],[CancelDate]],"M"))</f>
        <v>2</v>
      </c>
      <c r="N356" t="str">
        <f>IF(Table1[[#This Row],[EngagementScore]]&lt;=40,"Low",IF(Table1[[#This Row],[EngagementScore]]&lt;=70,"Medium","High"))</f>
        <v>Low</v>
      </c>
      <c r="O356" t="str">
        <f>IF(Table1[[#This Row],[Age]]&lt;25,"18-24",
IF(Table1[[#This Row],[Age]]&lt;35,"25-34",
IF(Table1[[#This Row],[Age]]&lt;45,"35-44","45+")))</f>
        <v>25-34</v>
      </c>
    </row>
    <row r="357" spans="1:15" x14ac:dyDescent="0.25">
      <c r="A357" t="s">
        <v>366</v>
      </c>
      <c r="B357" s="4">
        <v>44653</v>
      </c>
      <c r="C357" s="1">
        <v>44739</v>
      </c>
      <c r="D357">
        <v>31</v>
      </c>
      <c r="E357" t="s">
        <v>912</v>
      </c>
      <c r="F357" t="s">
        <v>917</v>
      </c>
      <c r="G357" t="s">
        <v>920</v>
      </c>
      <c r="H357">
        <v>4904.8599999999997</v>
      </c>
      <c r="I357">
        <v>7</v>
      </c>
      <c r="J357">
        <v>14</v>
      </c>
      <c r="K357" t="s">
        <v>925</v>
      </c>
      <c r="L357" t="str">
        <f>IF(ISBLANK(Table1[[#This Row],[CancelDate]]),"Active","Churned")</f>
        <v>Churned</v>
      </c>
      <c r="M357">
        <f ca="1">IF(ISBLANK(Table1[[#This Row],[CancelDate]]),DATEDIF(Table1[[#This Row],[JoinDate]],TODAY(),"M"),DATEDIF(Table1[[#This Row],[JoinDate]],Table1[[#This Row],[CancelDate]],"M"))</f>
        <v>2</v>
      </c>
      <c r="N357" t="str">
        <f>IF(Table1[[#This Row],[EngagementScore]]&lt;=40,"Low",IF(Table1[[#This Row],[EngagementScore]]&lt;=70,"Medium","High"))</f>
        <v>Low</v>
      </c>
      <c r="O357" t="str">
        <f>IF(Table1[[#This Row],[Age]]&lt;25,"18-24",
IF(Table1[[#This Row],[Age]]&lt;35,"25-34",
IF(Table1[[#This Row],[Age]]&lt;45,"35-44","45+")))</f>
        <v>25-34</v>
      </c>
    </row>
    <row r="358" spans="1:15" x14ac:dyDescent="0.25">
      <c r="A358" t="s">
        <v>367</v>
      </c>
      <c r="B358" s="4">
        <v>45001</v>
      </c>
      <c r="C358" s="1">
        <v>45204</v>
      </c>
      <c r="D358">
        <v>59</v>
      </c>
      <c r="E358" t="s">
        <v>912</v>
      </c>
      <c r="F358" t="s">
        <v>918</v>
      </c>
      <c r="G358" t="s">
        <v>922</v>
      </c>
      <c r="H358">
        <v>5066.4799999999996</v>
      </c>
      <c r="I358">
        <v>1</v>
      </c>
      <c r="J358">
        <v>17</v>
      </c>
      <c r="K358" t="s">
        <v>925</v>
      </c>
      <c r="L358" t="str">
        <f>IF(ISBLANK(Table1[[#This Row],[CancelDate]]),"Active","Churned")</f>
        <v>Churned</v>
      </c>
      <c r="M358">
        <f ca="1">IF(ISBLANK(Table1[[#This Row],[CancelDate]]),DATEDIF(Table1[[#This Row],[JoinDate]],TODAY(),"M"),DATEDIF(Table1[[#This Row],[JoinDate]],Table1[[#This Row],[CancelDate]],"M"))</f>
        <v>6</v>
      </c>
      <c r="N358" t="str">
        <f>IF(Table1[[#This Row],[EngagementScore]]&lt;=40,"Low",IF(Table1[[#This Row],[EngagementScore]]&lt;=70,"Medium","High"))</f>
        <v>Low</v>
      </c>
      <c r="O358" t="str">
        <f>IF(Table1[[#This Row],[Age]]&lt;25,"18-24",
IF(Table1[[#This Row],[Age]]&lt;35,"25-34",
IF(Table1[[#This Row],[Age]]&lt;45,"35-44","45+")))</f>
        <v>45+</v>
      </c>
    </row>
    <row r="359" spans="1:15" x14ac:dyDescent="0.25">
      <c r="A359" t="s">
        <v>368</v>
      </c>
      <c r="B359" s="4">
        <v>44578</v>
      </c>
      <c r="D359">
        <v>26</v>
      </c>
      <c r="E359" t="s">
        <v>912</v>
      </c>
      <c r="F359" t="s">
        <v>917</v>
      </c>
      <c r="G359" t="s">
        <v>921</v>
      </c>
      <c r="H359">
        <v>21541.83</v>
      </c>
      <c r="I359">
        <v>23</v>
      </c>
      <c r="J359">
        <v>98</v>
      </c>
      <c r="K359" t="s">
        <v>923</v>
      </c>
      <c r="L359" t="str">
        <f>IF(ISBLANK(Table1[[#This Row],[CancelDate]]),"Active","Churned")</f>
        <v>Active</v>
      </c>
      <c r="M359">
        <f ca="1">IF(ISBLANK(Table1[[#This Row],[CancelDate]]),DATEDIF(Table1[[#This Row],[JoinDate]],TODAY(),"M"),DATEDIF(Table1[[#This Row],[JoinDate]],Table1[[#This Row],[CancelDate]],"M"))</f>
        <v>50</v>
      </c>
      <c r="N359" t="str">
        <f>IF(Table1[[#This Row],[EngagementScore]]&lt;=40,"Low",IF(Table1[[#This Row],[EngagementScore]]&lt;=70,"Medium","High"))</f>
        <v>High</v>
      </c>
      <c r="O359" t="str">
        <f>IF(Table1[[#This Row],[Age]]&lt;25,"18-24",
IF(Table1[[#This Row],[Age]]&lt;35,"25-34",
IF(Table1[[#This Row],[Age]]&lt;45,"35-44","45+")))</f>
        <v>25-34</v>
      </c>
    </row>
    <row r="360" spans="1:15" x14ac:dyDescent="0.25">
      <c r="A360" t="s">
        <v>369</v>
      </c>
      <c r="B360" s="4">
        <v>45056</v>
      </c>
      <c r="D360">
        <v>58</v>
      </c>
      <c r="E360" t="s">
        <v>912</v>
      </c>
      <c r="F360" t="s">
        <v>918</v>
      </c>
      <c r="G360" t="s">
        <v>922</v>
      </c>
      <c r="H360">
        <v>6966.2</v>
      </c>
      <c r="I360">
        <v>7</v>
      </c>
      <c r="J360">
        <v>69</v>
      </c>
      <c r="K360" t="s">
        <v>923</v>
      </c>
      <c r="L360" t="str">
        <f>IF(ISBLANK(Table1[[#This Row],[CancelDate]]),"Active","Churned")</f>
        <v>Active</v>
      </c>
      <c r="M360">
        <f ca="1">IF(ISBLANK(Table1[[#This Row],[CancelDate]]),DATEDIF(Table1[[#This Row],[JoinDate]],TODAY(),"M"),DATEDIF(Table1[[#This Row],[JoinDate]],Table1[[#This Row],[CancelDate]],"M"))</f>
        <v>34</v>
      </c>
      <c r="N360" t="str">
        <f>IF(Table1[[#This Row],[EngagementScore]]&lt;=40,"Low",IF(Table1[[#This Row],[EngagementScore]]&lt;=70,"Medium","High"))</f>
        <v>Medium</v>
      </c>
      <c r="O360" t="str">
        <f>IF(Table1[[#This Row],[Age]]&lt;25,"18-24",
IF(Table1[[#This Row],[Age]]&lt;35,"25-34",
IF(Table1[[#This Row],[Age]]&lt;45,"35-44","45+")))</f>
        <v>45+</v>
      </c>
    </row>
    <row r="361" spans="1:15" x14ac:dyDescent="0.25">
      <c r="A361" t="s">
        <v>370</v>
      </c>
      <c r="B361" s="4">
        <v>44942</v>
      </c>
      <c r="C361" s="1">
        <v>45251</v>
      </c>
      <c r="D361">
        <v>56</v>
      </c>
      <c r="E361" t="s">
        <v>912</v>
      </c>
      <c r="F361" t="s">
        <v>915</v>
      </c>
      <c r="G361" t="s">
        <v>920</v>
      </c>
      <c r="H361">
        <v>7484.55</v>
      </c>
      <c r="I361">
        <v>7</v>
      </c>
      <c r="J361">
        <v>18</v>
      </c>
      <c r="K361" t="s">
        <v>925</v>
      </c>
      <c r="L361" t="str">
        <f>IF(ISBLANK(Table1[[#This Row],[CancelDate]]),"Active","Churned")</f>
        <v>Churned</v>
      </c>
      <c r="M361">
        <f ca="1">IF(ISBLANK(Table1[[#This Row],[CancelDate]]),DATEDIF(Table1[[#This Row],[JoinDate]],TODAY(),"M"),DATEDIF(Table1[[#This Row],[JoinDate]],Table1[[#This Row],[CancelDate]],"M"))</f>
        <v>10</v>
      </c>
      <c r="N361" t="str">
        <f>IF(Table1[[#This Row],[EngagementScore]]&lt;=40,"Low",IF(Table1[[#This Row],[EngagementScore]]&lt;=70,"Medium","High"))</f>
        <v>Low</v>
      </c>
      <c r="O361" t="str">
        <f>IF(Table1[[#This Row],[Age]]&lt;25,"18-24",
IF(Table1[[#This Row],[Age]]&lt;35,"25-34",
IF(Table1[[#This Row],[Age]]&lt;45,"35-44","45+")))</f>
        <v>45+</v>
      </c>
    </row>
    <row r="362" spans="1:15" x14ac:dyDescent="0.25">
      <c r="A362" t="s">
        <v>371</v>
      </c>
      <c r="B362" s="4">
        <v>45207</v>
      </c>
      <c r="D362">
        <v>38</v>
      </c>
      <c r="E362" t="s">
        <v>911</v>
      </c>
      <c r="F362" t="s">
        <v>917</v>
      </c>
      <c r="G362" t="s">
        <v>922</v>
      </c>
      <c r="H362">
        <v>22213.33</v>
      </c>
      <c r="I362">
        <v>25</v>
      </c>
      <c r="J362">
        <v>86</v>
      </c>
      <c r="K362" t="s">
        <v>925</v>
      </c>
      <c r="L362" t="str">
        <f>IF(ISBLANK(Table1[[#This Row],[CancelDate]]),"Active","Churned")</f>
        <v>Active</v>
      </c>
      <c r="M362">
        <f ca="1">IF(ISBLANK(Table1[[#This Row],[CancelDate]]),DATEDIF(Table1[[#This Row],[JoinDate]],TODAY(),"M"),DATEDIF(Table1[[#This Row],[JoinDate]],Table1[[#This Row],[CancelDate]],"M"))</f>
        <v>29</v>
      </c>
      <c r="N362" t="str">
        <f>IF(Table1[[#This Row],[EngagementScore]]&lt;=40,"Low",IF(Table1[[#This Row],[EngagementScore]]&lt;=70,"Medium","High"))</f>
        <v>High</v>
      </c>
      <c r="O362" t="str">
        <f>IF(Table1[[#This Row],[Age]]&lt;25,"18-24",
IF(Table1[[#This Row],[Age]]&lt;35,"25-34",
IF(Table1[[#This Row],[Age]]&lt;45,"35-44","45+")))</f>
        <v>35-44</v>
      </c>
    </row>
    <row r="363" spans="1:15" x14ac:dyDescent="0.25">
      <c r="A363" t="s">
        <v>372</v>
      </c>
      <c r="B363" s="4">
        <v>44666</v>
      </c>
      <c r="D363">
        <v>48</v>
      </c>
      <c r="E363" t="s">
        <v>911</v>
      </c>
      <c r="F363" t="s">
        <v>915</v>
      </c>
      <c r="G363" t="s">
        <v>921</v>
      </c>
      <c r="H363">
        <v>10379.33</v>
      </c>
      <c r="I363">
        <v>7</v>
      </c>
      <c r="J363">
        <v>57</v>
      </c>
      <c r="K363" t="s">
        <v>924</v>
      </c>
      <c r="L363" t="str">
        <f>IF(ISBLANK(Table1[[#This Row],[CancelDate]]),"Active","Churned")</f>
        <v>Active</v>
      </c>
      <c r="M363">
        <f ca="1">IF(ISBLANK(Table1[[#This Row],[CancelDate]]),DATEDIF(Table1[[#This Row],[JoinDate]],TODAY(),"M"),DATEDIF(Table1[[#This Row],[JoinDate]],Table1[[#This Row],[CancelDate]],"M"))</f>
        <v>47</v>
      </c>
      <c r="N363" t="str">
        <f>IF(Table1[[#This Row],[EngagementScore]]&lt;=40,"Low",IF(Table1[[#This Row],[EngagementScore]]&lt;=70,"Medium","High"))</f>
        <v>Medium</v>
      </c>
      <c r="O363" t="str">
        <f>IF(Table1[[#This Row],[Age]]&lt;25,"18-24",
IF(Table1[[#This Row],[Age]]&lt;35,"25-34",
IF(Table1[[#This Row],[Age]]&lt;45,"35-44","45+")))</f>
        <v>45+</v>
      </c>
    </row>
    <row r="364" spans="1:15" x14ac:dyDescent="0.25">
      <c r="A364" t="s">
        <v>373</v>
      </c>
      <c r="B364" s="4">
        <v>45167</v>
      </c>
      <c r="D364">
        <v>57</v>
      </c>
      <c r="E364" t="s">
        <v>913</v>
      </c>
      <c r="F364" t="s">
        <v>917</v>
      </c>
      <c r="G364" t="s">
        <v>922</v>
      </c>
      <c r="H364">
        <v>2051.7600000000002</v>
      </c>
      <c r="I364">
        <v>1</v>
      </c>
      <c r="J364">
        <v>19</v>
      </c>
      <c r="K364" t="s">
        <v>925</v>
      </c>
      <c r="L364" t="str">
        <f>IF(ISBLANK(Table1[[#This Row],[CancelDate]]),"Active","Churned")</f>
        <v>Active</v>
      </c>
      <c r="M364">
        <f ca="1">IF(ISBLANK(Table1[[#This Row],[CancelDate]]),DATEDIF(Table1[[#This Row],[JoinDate]],TODAY(),"M"),DATEDIF(Table1[[#This Row],[JoinDate]],Table1[[#This Row],[CancelDate]],"M"))</f>
        <v>31</v>
      </c>
      <c r="N364" t="str">
        <f>IF(Table1[[#This Row],[EngagementScore]]&lt;=40,"Low",IF(Table1[[#This Row],[EngagementScore]]&lt;=70,"Medium","High"))</f>
        <v>Low</v>
      </c>
      <c r="O364" t="str">
        <f>IF(Table1[[#This Row],[Age]]&lt;25,"18-24",
IF(Table1[[#This Row],[Age]]&lt;35,"25-34",
IF(Table1[[#This Row],[Age]]&lt;45,"35-44","45+")))</f>
        <v>45+</v>
      </c>
    </row>
    <row r="365" spans="1:15" x14ac:dyDescent="0.25">
      <c r="A365" t="s">
        <v>374</v>
      </c>
      <c r="B365" s="4">
        <v>44635</v>
      </c>
      <c r="C365" s="1">
        <v>44940</v>
      </c>
      <c r="D365">
        <v>38</v>
      </c>
      <c r="E365" t="s">
        <v>911</v>
      </c>
      <c r="F365" t="s">
        <v>918</v>
      </c>
      <c r="G365" t="s">
        <v>922</v>
      </c>
      <c r="H365">
        <v>6704.46</v>
      </c>
      <c r="I365">
        <v>3</v>
      </c>
      <c r="J365">
        <v>11</v>
      </c>
      <c r="K365" t="s">
        <v>923</v>
      </c>
      <c r="L365" t="str">
        <f>IF(ISBLANK(Table1[[#This Row],[CancelDate]]),"Active","Churned")</f>
        <v>Churned</v>
      </c>
      <c r="M365">
        <f ca="1">IF(ISBLANK(Table1[[#This Row],[CancelDate]]),DATEDIF(Table1[[#This Row],[JoinDate]],TODAY(),"M"),DATEDIF(Table1[[#This Row],[JoinDate]],Table1[[#This Row],[CancelDate]],"M"))</f>
        <v>9</v>
      </c>
      <c r="N365" t="str">
        <f>IF(Table1[[#This Row],[EngagementScore]]&lt;=40,"Low",IF(Table1[[#This Row],[EngagementScore]]&lt;=70,"Medium","High"))</f>
        <v>Low</v>
      </c>
      <c r="O365" t="str">
        <f>IF(Table1[[#This Row],[Age]]&lt;25,"18-24",
IF(Table1[[#This Row],[Age]]&lt;35,"25-34",
IF(Table1[[#This Row],[Age]]&lt;45,"35-44","45+")))</f>
        <v>35-44</v>
      </c>
    </row>
    <row r="366" spans="1:15" x14ac:dyDescent="0.25">
      <c r="A366" t="s">
        <v>375</v>
      </c>
      <c r="B366" s="4">
        <v>44990</v>
      </c>
      <c r="C366" s="1">
        <v>45031</v>
      </c>
      <c r="D366">
        <v>58</v>
      </c>
      <c r="E366" t="s">
        <v>912</v>
      </c>
      <c r="F366" t="s">
        <v>914</v>
      </c>
      <c r="G366" t="s">
        <v>922</v>
      </c>
      <c r="H366">
        <v>3653.24</v>
      </c>
      <c r="I366">
        <v>7</v>
      </c>
      <c r="J366">
        <v>36</v>
      </c>
      <c r="K366" t="s">
        <v>925</v>
      </c>
      <c r="L366" t="str">
        <f>IF(ISBLANK(Table1[[#This Row],[CancelDate]]),"Active","Churned")</f>
        <v>Churned</v>
      </c>
      <c r="M366">
        <f ca="1">IF(ISBLANK(Table1[[#This Row],[CancelDate]]),DATEDIF(Table1[[#This Row],[JoinDate]],TODAY(),"M"),DATEDIF(Table1[[#This Row],[JoinDate]],Table1[[#This Row],[CancelDate]],"M"))</f>
        <v>1</v>
      </c>
      <c r="N366" t="str">
        <f>IF(Table1[[#This Row],[EngagementScore]]&lt;=40,"Low",IF(Table1[[#This Row],[EngagementScore]]&lt;=70,"Medium","High"))</f>
        <v>Low</v>
      </c>
      <c r="O366" t="str">
        <f>IF(Table1[[#This Row],[Age]]&lt;25,"18-24",
IF(Table1[[#This Row],[Age]]&lt;35,"25-34",
IF(Table1[[#This Row],[Age]]&lt;45,"35-44","45+")))</f>
        <v>45+</v>
      </c>
    </row>
    <row r="367" spans="1:15" x14ac:dyDescent="0.25">
      <c r="A367" t="s">
        <v>376</v>
      </c>
      <c r="B367" s="4">
        <v>45257</v>
      </c>
      <c r="D367">
        <v>34</v>
      </c>
      <c r="E367" t="s">
        <v>911</v>
      </c>
      <c r="F367" t="s">
        <v>919</v>
      </c>
      <c r="G367" t="s">
        <v>921</v>
      </c>
      <c r="H367">
        <v>12722.96</v>
      </c>
      <c r="I367">
        <v>16</v>
      </c>
      <c r="J367">
        <v>72</v>
      </c>
      <c r="K367" t="s">
        <v>924</v>
      </c>
      <c r="L367" t="str">
        <f>IF(ISBLANK(Table1[[#This Row],[CancelDate]]),"Active","Churned")</f>
        <v>Active</v>
      </c>
      <c r="M367">
        <f ca="1">IF(ISBLANK(Table1[[#This Row],[CancelDate]]),DATEDIF(Table1[[#This Row],[JoinDate]],TODAY(),"M"),DATEDIF(Table1[[#This Row],[JoinDate]],Table1[[#This Row],[CancelDate]],"M"))</f>
        <v>28</v>
      </c>
      <c r="N367" t="str">
        <f>IF(Table1[[#This Row],[EngagementScore]]&lt;=40,"Low",IF(Table1[[#This Row],[EngagementScore]]&lt;=70,"Medium","High"))</f>
        <v>High</v>
      </c>
      <c r="O367" t="str">
        <f>IF(Table1[[#This Row],[Age]]&lt;25,"18-24",
IF(Table1[[#This Row],[Age]]&lt;35,"25-34",
IF(Table1[[#This Row],[Age]]&lt;45,"35-44","45+")))</f>
        <v>25-34</v>
      </c>
    </row>
    <row r="368" spans="1:15" x14ac:dyDescent="0.25">
      <c r="A368" t="s">
        <v>377</v>
      </c>
      <c r="B368" s="4">
        <v>44857</v>
      </c>
      <c r="D368">
        <v>50</v>
      </c>
      <c r="E368" t="s">
        <v>911</v>
      </c>
      <c r="F368" t="s">
        <v>916</v>
      </c>
      <c r="G368" t="s">
        <v>921</v>
      </c>
      <c r="H368">
        <v>13578.57</v>
      </c>
      <c r="I368">
        <v>11</v>
      </c>
      <c r="J368">
        <v>68</v>
      </c>
      <c r="K368" t="s">
        <v>913</v>
      </c>
      <c r="L368" t="str">
        <f>IF(ISBLANK(Table1[[#This Row],[CancelDate]]),"Active","Churned")</f>
        <v>Active</v>
      </c>
      <c r="M368">
        <f ca="1">IF(ISBLANK(Table1[[#This Row],[CancelDate]]),DATEDIF(Table1[[#This Row],[JoinDate]],TODAY(),"M"),DATEDIF(Table1[[#This Row],[JoinDate]],Table1[[#This Row],[CancelDate]],"M"))</f>
        <v>41</v>
      </c>
      <c r="N368" t="str">
        <f>IF(Table1[[#This Row],[EngagementScore]]&lt;=40,"Low",IF(Table1[[#This Row],[EngagementScore]]&lt;=70,"Medium","High"))</f>
        <v>Medium</v>
      </c>
      <c r="O368" t="str">
        <f>IF(Table1[[#This Row],[Age]]&lt;25,"18-24",
IF(Table1[[#This Row],[Age]]&lt;35,"25-34",
IF(Table1[[#This Row],[Age]]&lt;45,"35-44","45+")))</f>
        <v>45+</v>
      </c>
    </row>
    <row r="369" spans="1:15" x14ac:dyDescent="0.25">
      <c r="A369" t="s">
        <v>378</v>
      </c>
      <c r="B369" s="4">
        <v>44768</v>
      </c>
      <c r="D369">
        <v>43</v>
      </c>
      <c r="E369" t="s">
        <v>912</v>
      </c>
      <c r="F369" t="s">
        <v>919</v>
      </c>
      <c r="G369" t="s">
        <v>921</v>
      </c>
      <c r="H369">
        <v>12876.23</v>
      </c>
      <c r="I369">
        <v>5</v>
      </c>
      <c r="J369">
        <v>51</v>
      </c>
      <c r="K369" t="s">
        <v>925</v>
      </c>
      <c r="L369" t="str">
        <f>IF(ISBLANK(Table1[[#This Row],[CancelDate]]),"Active","Churned")</f>
        <v>Active</v>
      </c>
      <c r="M369">
        <f ca="1">IF(ISBLANK(Table1[[#This Row],[CancelDate]]),DATEDIF(Table1[[#This Row],[JoinDate]],TODAY(),"M"),DATEDIF(Table1[[#This Row],[JoinDate]],Table1[[#This Row],[CancelDate]],"M"))</f>
        <v>44</v>
      </c>
      <c r="N369" t="str">
        <f>IF(Table1[[#This Row],[EngagementScore]]&lt;=40,"Low",IF(Table1[[#This Row],[EngagementScore]]&lt;=70,"Medium","High"))</f>
        <v>Medium</v>
      </c>
      <c r="O369" t="str">
        <f>IF(Table1[[#This Row],[Age]]&lt;25,"18-24",
IF(Table1[[#This Row],[Age]]&lt;35,"25-34",
IF(Table1[[#This Row],[Age]]&lt;45,"35-44","45+")))</f>
        <v>35-44</v>
      </c>
    </row>
    <row r="370" spans="1:15" x14ac:dyDescent="0.25">
      <c r="A370" t="s">
        <v>379</v>
      </c>
      <c r="B370" s="4">
        <v>44752</v>
      </c>
      <c r="C370" s="1">
        <v>45085</v>
      </c>
      <c r="D370">
        <v>21</v>
      </c>
      <c r="E370" t="s">
        <v>911</v>
      </c>
      <c r="F370" t="s">
        <v>916</v>
      </c>
      <c r="G370" t="s">
        <v>921</v>
      </c>
      <c r="H370">
        <v>2048.8200000000002</v>
      </c>
      <c r="I370">
        <v>3</v>
      </c>
      <c r="J370">
        <v>35</v>
      </c>
      <c r="K370" t="s">
        <v>925</v>
      </c>
      <c r="L370" t="str">
        <f>IF(ISBLANK(Table1[[#This Row],[CancelDate]]),"Active","Churned")</f>
        <v>Churned</v>
      </c>
      <c r="M370">
        <f ca="1">IF(ISBLANK(Table1[[#This Row],[CancelDate]]),DATEDIF(Table1[[#This Row],[JoinDate]],TODAY(),"M"),DATEDIF(Table1[[#This Row],[JoinDate]],Table1[[#This Row],[CancelDate]],"M"))</f>
        <v>10</v>
      </c>
      <c r="N370" t="str">
        <f>IF(Table1[[#This Row],[EngagementScore]]&lt;=40,"Low",IF(Table1[[#This Row],[EngagementScore]]&lt;=70,"Medium","High"))</f>
        <v>Low</v>
      </c>
      <c r="O370" t="str">
        <f>IF(Table1[[#This Row],[Age]]&lt;25,"18-24",
IF(Table1[[#This Row],[Age]]&lt;35,"25-34",
IF(Table1[[#This Row],[Age]]&lt;45,"35-44","45+")))</f>
        <v>18-24</v>
      </c>
    </row>
    <row r="371" spans="1:15" x14ac:dyDescent="0.25">
      <c r="A371" t="s">
        <v>380</v>
      </c>
      <c r="B371" s="4">
        <v>44948</v>
      </c>
      <c r="D371">
        <v>39</v>
      </c>
      <c r="E371" t="s">
        <v>912</v>
      </c>
      <c r="F371" t="s">
        <v>915</v>
      </c>
      <c r="G371" t="s">
        <v>922</v>
      </c>
      <c r="H371">
        <v>7187.45</v>
      </c>
      <c r="I371">
        <v>7</v>
      </c>
      <c r="J371">
        <v>21</v>
      </c>
      <c r="K371" t="s">
        <v>925</v>
      </c>
      <c r="L371" t="str">
        <f>IF(ISBLANK(Table1[[#This Row],[CancelDate]]),"Active","Churned")</f>
        <v>Active</v>
      </c>
      <c r="M371">
        <f ca="1">IF(ISBLANK(Table1[[#This Row],[CancelDate]]),DATEDIF(Table1[[#This Row],[JoinDate]],TODAY(),"M"),DATEDIF(Table1[[#This Row],[JoinDate]],Table1[[#This Row],[CancelDate]],"M"))</f>
        <v>38</v>
      </c>
      <c r="N371" t="str">
        <f>IF(Table1[[#This Row],[EngagementScore]]&lt;=40,"Low",IF(Table1[[#This Row],[EngagementScore]]&lt;=70,"Medium","High"))</f>
        <v>Low</v>
      </c>
      <c r="O371" t="str">
        <f>IF(Table1[[#This Row],[Age]]&lt;25,"18-24",
IF(Table1[[#This Row],[Age]]&lt;35,"25-34",
IF(Table1[[#This Row],[Age]]&lt;45,"35-44","45+")))</f>
        <v>35-44</v>
      </c>
    </row>
    <row r="372" spans="1:15" x14ac:dyDescent="0.25">
      <c r="A372" t="s">
        <v>381</v>
      </c>
      <c r="B372" s="4">
        <v>45111</v>
      </c>
      <c r="D372">
        <v>23</v>
      </c>
      <c r="E372" t="s">
        <v>913</v>
      </c>
      <c r="F372" t="s">
        <v>917</v>
      </c>
      <c r="G372" t="s">
        <v>921</v>
      </c>
      <c r="H372">
        <v>2980.97</v>
      </c>
      <c r="I372">
        <v>4</v>
      </c>
      <c r="J372">
        <v>26</v>
      </c>
      <c r="K372" t="s">
        <v>925</v>
      </c>
      <c r="L372" t="str">
        <f>IF(ISBLANK(Table1[[#This Row],[CancelDate]]),"Active","Churned")</f>
        <v>Active</v>
      </c>
      <c r="M372">
        <f ca="1">IF(ISBLANK(Table1[[#This Row],[CancelDate]]),DATEDIF(Table1[[#This Row],[JoinDate]],TODAY(),"M"),DATEDIF(Table1[[#This Row],[JoinDate]],Table1[[#This Row],[CancelDate]],"M"))</f>
        <v>32</v>
      </c>
      <c r="N372" t="str">
        <f>IF(Table1[[#This Row],[EngagementScore]]&lt;=40,"Low",IF(Table1[[#This Row],[EngagementScore]]&lt;=70,"Medium","High"))</f>
        <v>Low</v>
      </c>
      <c r="O372" t="str">
        <f>IF(Table1[[#This Row],[Age]]&lt;25,"18-24",
IF(Table1[[#This Row],[Age]]&lt;35,"25-34",
IF(Table1[[#This Row],[Age]]&lt;45,"35-44","45+")))</f>
        <v>18-24</v>
      </c>
    </row>
    <row r="373" spans="1:15" x14ac:dyDescent="0.25">
      <c r="A373" t="s">
        <v>382</v>
      </c>
      <c r="B373" s="4">
        <v>44904</v>
      </c>
      <c r="C373" s="1">
        <v>45124</v>
      </c>
      <c r="D373">
        <v>51</v>
      </c>
      <c r="E373" t="s">
        <v>911</v>
      </c>
      <c r="F373" t="s">
        <v>915</v>
      </c>
      <c r="G373" t="s">
        <v>922</v>
      </c>
      <c r="H373">
        <v>23995.68</v>
      </c>
      <c r="I373">
        <v>15</v>
      </c>
      <c r="J373">
        <v>74</v>
      </c>
      <c r="K373" t="s">
        <v>924</v>
      </c>
      <c r="L373" t="str">
        <f>IF(ISBLANK(Table1[[#This Row],[CancelDate]]),"Active","Churned")</f>
        <v>Churned</v>
      </c>
      <c r="M373">
        <f ca="1">IF(ISBLANK(Table1[[#This Row],[CancelDate]]),DATEDIF(Table1[[#This Row],[JoinDate]],TODAY(),"M"),DATEDIF(Table1[[#This Row],[JoinDate]],Table1[[#This Row],[CancelDate]],"M"))</f>
        <v>7</v>
      </c>
      <c r="N373" t="str">
        <f>IF(Table1[[#This Row],[EngagementScore]]&lt;=40,"Low",IF(Table1[[#This Row],[EngagementScore]]&lt;=70,"Medium","High"))</f>
        <v>High</v>
      </c>
      <c r="O373" t="str">
        <f>IF(Table1[[#This Row],[Age]]&lt;25,"18-24",
IF(Table1[[#This Row],[Age]]&lt;35,"25-34",
IF(Table1[[#This Row],[Age]]&lt;45,"35-44","45+")))</f>
        <v>45+</v>
      </c>
    </row>
    <row r="374" spans="1:15" x14ac:dyDescent="0.25">
      <c r="A374" t="s">
        <v>383</v>
      </c>
      <c r="B374" s="4">
        <v>44803</v>
      </c>
      <c r="C374" s="1">
        <v>44888</v>
      </c>
      <c r="D374">
        <v>26</v>
      </c>
      <c r="E374" t="s">
        <v>911</v>
      </c>
      <c r="F374" t="s">
        <v>914</v>
      </c>
      <c r="G374" t="s">
        <v>921</v>
      </c>
      <c r="H374">
        <v>2339.65</v>
      </c>
      <c r="I374">
        <v>5</v>
      </c>
      <c r="J374">
        <v>38</v>
      </c>
      <c r="K374" t="s">
        <v>923</v>
      </c>
      <c r="L374" t="str">
        <f>IF(ISBLANK(Table1[[#This Row],[CancelDate]]),"Active","Churned")</f>
        <v>Churned</v>
      </c>
      <c r="M374">
        <f ca="1">IF(ISBLANK(Table1[[#This Row],[CancelDate]]),DATEDIF(Table1[[#This Row],[JoinDate]],TODAY(),"M"),DATEDIF(Table1[[#This Row],[JoinDate]],Table1[[#This Row],[CancelDate]],"M"))</f>
        <v>2</v>
      </c>
      <c r="N374" t="str">
        <f>IF(Table1[[#This Row],[EngagementScore]]&lt;=40,"Low",IF(Table1[[#This Row],[EngagementScore]]&lt;=70,"Medium","High"))</f>
        <v>Low</v>
      </c>
      <c r="O374" t="str">
        <f>IF(Table1[[#This Row],[Age]]&lt;25,"18-24",
IF(Table1[[#This Row],[Age]]&lt;35,"25-34",
IF(Table1[[#This Row],[Age]]&lt;45,"35-44","45+")))</f>
        <v>25-34</v>
      </c>
    </row>
    <row r="375" spans="1:15" x14ac:dyDescent="0.25">
      <c r="A375" t="s">
        <v>384</v>
      </c>
      <c r="B375" s="4">
        <v>45376</v>
      </c>
      <c r="C375" s="1">
        <v>45442</v>
      </c>
      <c r="D375">
        <v>47</v>
      </c>
      <c r="E375" t="s">
        <v>911</v>
      </c>
      <c r="F375" t="s">
        <v>917</v>
      </c>
      <c r="G375" t="s">
        <v>921</v>
      </c>
      <c r="H375">
        <v>19802.36</v>
      </c>
      <c r="I375">
        <v>25</v>
      </c>
      <c r="J375">
        <v>97</v>
      </c>
      <c r="K375" t="s">
        <v>925</v>
      </c>
      <c r="L375" t="str">
        <f>IF(ISBLANK(Table1[[#This Row],[CancelDate]]),"Active","Churned")</f>
        <v>Churned</v>
      </c>
      <c r="M375">
        <f ca="1">IF(ISBLANK(Table1[[#This Row],[CancelDate]]),DATEDIF(Table1[[#This Row],[JoinDate]],TODAY(),"M"),DATEDIF(Table1[[#This Row],[JoinDate]],Table1[[#This Row],[CancelDate]],"M"))</f>
        <v>2</v>
      </c>
      <c r="N375" t="str">
        <f>IF(Table1[[#This Row],[EngagementScore]]&lt;=40,"Low",IF(Table1[[#This Row],[EngagementScore]]&lt;=70,"Medium","High"))</f>
        <v>High</v>
      </c>
      <c r="O375" t="str">
        <f>IF(Table1[[#This Row],[Age]]&lt;25,"18-24",
IF(Table1[[#This Row],[Age]]&lt;35,"25-34",
IF(Table1[[#This Row],[Age]]&lt;45,"35-44","45+")))</f>
        <v>45+</v>
      </c>
    </row>
    <row r="376" spans="1:15" x14ac:dyDescent="0.25">
      <c r="A376" t="s">
        <v>385</v>
      </c>
      <c r="B376" s="4">
        <v>44827</v>
      </c>
      <c r="D376">
        <v>31</v>
      </c>
      <c r="E376" t="s">
        <v>911</v>
      </c>
      <c r="F376" t="s">
        <v>919</v>
      </c>
      <c r="G376" t="s">
        <v>921</v>
      </c>
      <c r="H376">
        <v>5953.51</v>
      </c>
      <c r="I376">
        <v>9</v>
      </c>
      <c r="J376">
        <v>69</v>
      </c>
      <c r="K376" t="s">
        <v>913</v>
      </c>
      <c r="L376" t="str">
        <f>IF(ISBLANK(Table1[[#This Row],[CancelDate]]),"Active","Churned")</f>
        <v>Active</v>
      </c>
      <c r="M376">
        <f ca="1">IF(ISBLANK(Table1[[#This Row],[CancelDate]]),DATEDIF(Table1[[#This Row],[JoinDate]],TODAY(),"M"),DATEDIF(Table1[[#This Row],[JoinDate]],Table1[[#This Row],[CancelDate]],"M"))</f>
        <v>42</v>
      </c>
      <c r="N376" t="str">
        <f>IF(Table1[[#This Row],[EngagementScore]]&lt;=40,"Low",IF(Table1[[#This Row],[EngagementScore]]&lt;=70,"Medium","High"))</f>
        <v>Medium</v>
      </c>
      <c r="O376" t="str">
        <f>IF(Table1[[#This Row],[Age]]&lt;25,"18-24",
IF(Table1[[#This Row],[Age]]&lt;35,"25-34",
IF(Table1[[#This Row],[Age]]&lt;45,"35-44","45+")))</f>
        <v>25-34</v>
      </c>
    </row>
    <row r="377" spans="1:15" x14ac:dyDescent="0.25">
      <c r="A377" t="s">
        <v>386</v>
      </c>
      <c r="B377" s="4">
        <v>45237</v>
      </c>
      <c r="D377">
        <v>57</v>
      </c>
      <c r="E377" t="s">
        <v>912</v>
      </c>
      <c r="F377" t="s">
        <v>914</v>
      </c>
      <c r="G377" t="s">
        <v>920</v>
      </c>
      <c r="H377">
        <v>5648.01</v>
      </c>
      <c r="I377">
        <v>7</v>
      </c>
      <c r="J377">
        <v>50</v>
      </c>
      <c r="K377" t="s">
        <v>923</v>
      </c>
      <c r="L377" t="str">
        <f>IF(ISBLANK(Table1[[#This Row],[CancelDate]]),"Active","Churned")</f>
        <v>Active</v>
      </c>
      <c r="M377">
        <f ca="1">IF(ISBLANK(Table1[[#This Row],[CancelDate]]),DATEDIF(Table1[[#This Row],[JoinDate]],TODAY(),"M"),DATEDIF(Table1[[#This Row],[JoinDate]],Table1[[#This Row],[CancelDate]],"M"))</f>
        <v>28</v>
      </c>
      <c r="N377" t="str">
        <f>IF(Table1[[#This Row],[EngagementScore]]&lt;=40,"Low",IF(Table1[[#This Row],[EngagementScore]]&lt;=70,"Medium","High"))</f>
        <v>Medium</v>
      </c>
      <c r="O377" t="str">
        <f>IF(Table1[[#This Row],[Age]]&lt;25,"18-24",
IF(Table1[[#This Row],[Age]]&lt;35,"25-34",
IF(Table1[[#This Row],[Age]]&lt;45,"35-44","45+")))</f>
        <v>45+</v>
      </c>
    </row>
    <row r="378" spans="1:15" x14ac:dyDescent="0.25">
      <c r="A378" t="s">
        <v>387</v>
      </c>
      <c r="B378" s="4">
        <v>45089</v>
      </c>
      <c r="D378">
        <v>56</v>
      </c>
      <c r="E378" t="s">
        <v>911</v>
      </c>
      <c r="F378" t="s">
        <v>918</v>
      </c>
      <c r="G378" t="s">
        <v>920</v>
      </c>
      <c r="H378">
        <v>22326.75</v>
      </c>
      <c r="I378">
        <v>15</v>
      </c>
      <c r="J378">
        <v>92</v>
      </c>
      <c r="K378" t="s">
        <v>925</v>
      </c>
      <c r="L378" t="str">
        <f>IF(ISBLANK(Table1[[#This Row],[CancelDate]]),"Active","Churned")</f>
        <v>Active</v>
      </c>
      <c r="M378">
        <f ca="1">IF(ISBLANK(Table1[[#This Row],[CancelDate]]),DATEDIF(Table1[[#This Row],[JoinDate]],TODAY(),"M"),DATEDIF(Table1[[#This Row],[JoinDate]],Table1[[#This Row],[CancelDate]],"M"))</f>
        <v>33</v>
      </c>
      <c r="N378" t="str">
        <f>IF(Table1[[#This Row],[EngagementScore]]&lt;=40,"Low",IF(Table1[[#This Row],[EngagementScore]]&lt;=70,"Medium","High"))</f>
        <v>High</v>
      </c>
      <c r="O378" t="str">
        <f>IF(Table1[[#This Row],[Age]]&lt;25,"18-24",
IF(Table1[[#This Row],[Age]]&lt;35,"25-34",
IF(Table1[[#This Row],[Age]]&lt;45,"35-44","45+")))</f>
        <v>45+</v>
      </c>
    </row>
    <row r="379" spans="1:15" x14ac:dyDescent="0.25">
      <c r="A379" t="s">
        <v>388</v>
      </c>
      <c r="B379" s="4">
        <v>45234</v>
      </c>
      <c r="C379" s="1">
        <v>45529</v>
      </c>
      <c r="D379">
        <v>47</v>
      </c>
      <c r="E379" t="s">
        <v>911</v>
      </c>
      <c r="F379" t="s">
        <v>914</v>
      </c>
      <c r="G379" t="s">
        <v>921</v>
      </c>
      <c r="H379">
        <v>6389.23</v>
      </c>
      <c r="I379">
        <v>4</v>
      </c>
      <c r="J379">
        <v>15</v>
      </c>
      <c r="K379" t="s">
        <v>925</v>
      </c>
      <c r="L379" t="str">
        <f>IF(ISBLANK(Table1[[#This Row],[CancelDate]]),"Active","Churned")</f>
        <v>Churned</v>
      </c>
      <c r="M379">
        <f ca="1">IF(ISBLANK(Table1[[#This Row],[CancelDate]]),DATEDIF(Table1[[#This Row],[JoinDate]],TODAY(),"M"),DATEDIF(Table1[[#This Row],[JoinDate]],Table1[[#This Row],[CancelDate]],"M"))</f>
        <v>9</v>
      </c>
      <c r="N379" t="str">
        <f>IF(Table1[[#This Row],[EngagementScore]]&lt;=40,"Low",IF(Table1[[#This Row],[EngagementScore]]&lt;=70,"Medium","High"))</f>
        <v>Low</v>
      </c>
      <c r="O379" t="str">
        <f>IF(Table1[[#This Row],[Age]]&lt;25,"18-24",
IF(Table1[[#This Row],[Age]]&lt;35,"25-34",
IF(Table1[[#This Row],[Age]]&lt;45,"35-44","45+")))</f>
        <v>45+</v>
      </c>
    </row>
    <row r="380" spans="1:15" x14ac:dyDescent="0.25">
      <c r="A380" t="s">
        <v>389</v>
      </c>
      <c r="B380" s="4">
        <v>45429</v>
      </c>
      <c r="D380">
        <v>51</v>
      </c>
      <c r="E380" t="s">
        <v>911</v>
      </c>
      <c r="F380" t="s">
        <v>917</v>
      </c>
      <c r="G380" t="s">
        <v>921</v>
      </c>
      <c r="H380">
        <v>6001.97</v>
      </c>
      <c r="I380">
        <v>3</v>
      </c>
      <c r="J380">
        <v>34</v>
      </c>
      <c r="K380" t="s">
        <v>925</v>
      </c>
      <c r="L380" t="str">
        <f>IF(ISBLANK(Table1[[#This Row],[CancelDate]]),"Active","Churned")</f>
        <v>Active</v>
      </c>
      <c r="M380">
        <f ca="1">IF(ISBLANK(Table1[[#This Row],[CancelDate]]),DATEDIF(Table1[[#This Row],[JoinDate]],TODAY(),"M"),DATEDIF(Table1[[#This Row],[JoinDate]],Table1[[#This Row],[CancelDate]],"M"))</f>
        <v>22</v>
      </c>
      <c r="N380" t="str">
        <f>IF(Table1[[#This Row],[EngagementScore]]&lt;=40,"Low",IF(Table1[[#This Row],[EngagementScore]]&lt;=70,"Medium","High"))</f>
        <v>Low</v>
      </c>
      <c r="O380" t="str">
        <f>IF(Table1[[#This Row],[Age]]&lt;25,"18-24",
IF(Table1[[#This Row],[Age]]&lt;35,"25-34",
IF(Table1[[#This Row],[Age]]&lt;45,"35-44","45+")))</f>
        <v>45+</v>
      </c>
    </row>
    <row r="381" spans="1:15" x14ac:dyDescent="0.25">
      <c r="A381" t="s">
        <v>390</v>
      </c>
      <c r="B381" s="4">
        <v>44760</v>
      </c>
      <c r="D381">
        <v>30</v>
      </c>
      <c r="E381" t="s">
        <v>912</v>
      </c>
      <c r="F381" t="s">
        <v>916</v>
      </c>
      <c r="G381" t="s">
        <v>921</v>
      </c>
      <c r="H381">
        <v>26872.82</v>
      </c>
      <c r="I381">
        <v>20</v>
      </c>
      <c r="J381">
        <v>76</v>
      </c>
      <c r="K381" t="s">
        <v>924</v>
      </c>
      <c r="L381" t="str">
        <f>IF(ISBLANK(Table1[[#This Row],[CancelDate]]),"Active","Churned")</f>
        <v>Active</v>
      </c>
      <c r="M381">
        <f ca="1">IF(ISBLANK(Table1[[#This Row],[CancelDate]]),DATEDIF(Table1[[#This Row],[JoinDate]],TODAY(),"M"),DATEDIF(Table1[[#This Row],[JoinDate]],Table1[[#This Row],[CancelDate]],"M"))</f>
        <v>44</v>
      </c>
      <c r="N381" t="str">
        <f>IF(Table1[[#This Row],[EngagementScore]]&lt;=40,"Low",IF(Table1[[#This Row],[EngagementScore]]&lt;=70,"Medium","High"))</f>
        <v>High</v>
      </c>
      <c r="O381" t="str">
        <f>IF(Table1[[#This Row],[Age]]&lt;25,"18-24",
IF(Table1[[#This Row],[Age]]&lt;35,"25-34",
IF(Table1[[#This Row],[Age]]&lt;45,"35-44","45+")))</f>
        <v>25-34</v>
      </c>
    </row>
    <row r="382" spans="1:15" x14ac:dyDescent="0.25">
      <c r="A382" t="s">
        <v>391</v>
      </c>
      <c r="B382" s="4">
        <v>45030</v>
      </c>
      <c r="C382" s="1">
        <v>45328</v>
      </c>
      <c r="D382">
        <v>58</v>
      </c>
      <c r="E382" t="s">
        <v>912</v>
      </c>
      <c r="F382" t="s">
        <v>917</v>
      </c>
      <c r="G382" t="s">
        <v>921</v>
      </c>
      <c r="H382">
        <v>7464.67</v>
      </c>
      <c r="I382">
        <v>6</v>
      </c>
      <c r="J382">
        <v>20</v>
      </c>
      <c r="K382" t="s">
        <v>925</v>
      </c>
      <c r="L382" t="str">
        <f>IF(ISBLANK(Table1[[#This Row],[CancelDate]]),"Active","Churned")</f>
        <v>Churned</v>
      </c>
      <c r="M382">
        <f ca="1">IF(ISBLANK(Table1[[#This Row],[CancelDate]]),DATEDIF(Table1[[#This Row],[JoinDate]],TODAY(),"M"),DATEDIF(Table1[[#This Row],[JoinDate]],Table1[[#This Row],[CancelDate]],"M"))</f>
        <v>9</v>
      </c>
      <c r="N382" t="str">
        <f>IF(Table1[[#This Row],[EngagementScore]]&lt;=40,"Low",IF(Table1[[#This Row],[EngagementScore]]&lt;=70,"Medium","High"))</f>
        <v>Low</v>
      </c>
      <c r="O382" t="str">
        <f>IF(Table1[[#This Row],[Age]]&lt;25,"18-24",
IF(Table1[[#This Row],[Age]]&lt;35,"25-34",
IF(Table1[[#This Row],[Age]]&lt;45,"35-44","45+")))</f>
        <v>45+</v>
      </c>
    </row>
    <row r="383" spans="1:15" x14ac:dyDescent="0.25">
      <c r="A383" t="s">
        <v>392</v>
      </c>
      <c r="B383" s="4">
        <v>45458</v>
      </c>
      <c r="C383" s="1">
        <v>45596</v>
      </c>
      <c r="D383">
        <v>29</v>
      </c>
      <c r="E383" t="s">
        <v>912</v>
      </c>
      <c r="F383" t="s">
        <v>919</v>
      </c>
      <c r="G383" t="s">
        <v>920</v>
      </c>
      <c r="H383">
        <v>6509.32</v>
      </c>
      <c r="I383">
        <v>1</v>
      </c>
      <c r="J383">
        <v>13</v>
      </c>
      <c r="K383" t="s">
        <v>923</v>
      </c>
      <c r="L383" t="str">
        <f>IF(ISBLANK(Table1[[#This Row],[CancelDate]]),"Active","Churned")</f>
        <v>Churned</v>
      </c>
      <c r="M383">
        <f ca="1">IF(ISBLANK(Table1[[#This Row],[CancelDate]]),DATEDIF(Table1[[#This Row],[JoinDate]],TODAY(),"M"),DATEDIF(Table1[[#This Row],[JoinDate]],Table1[[#This Row],[CancelDate]],"M"))</f>
        <v>4</v>
      </c>
      <c r="N383" t="str">
        <f>IF(Table1[[#This Row],[EngagementScore]]&lt;=40,"Low",IF(Table1[[#This Row],[EngagementScore]]&lt;=70,"Medium","High"))</f>
        <v>Low</v>
      </c>
      <c r="O383" t="str">
        <f>IF(Table1[[#This Row],[Age]]&lt;25,"18-24",
IF(Table1[[#This Row],[Age]]&lt;35,"25-34",
IF(Table1[[#This Row],[Age]]&lt;45,"35-44","45+")))</f>
        <v>25-34</v>
      </c>
    </row>
    <row r="384" spans="1:15" x14ac:dyDescent="0.25">
      <c r="A384" t="s">
        <v>393</v>
      </c>
      <c r="B384" s="4">
        <v>44774</v>
      </c>
      <c r="C384" s="1">
        <v>45064</v>
      </c>
      <c r="D384">
        <v>19</v>
      </c>
      <c r="E384" t="s">
        <v>912</v>
      </c>
      <c r="F384" t="s">
        <v>915</v>
      </c>
      <c r="G384" t="s">
        <v>922</v>
      </c>
      <c r="H384">
        <v>5815.74</v>
      </c>
      <c r="I384">
        <v>6</v>
      </c>
      <c r="J384">
        <v>22</v>
      </c>
      <c r="K384" t="s">
        <v>924</v>
      </c>
      <c r="L384" t="str">
        <f>IF(ISBLANK(Table1[[#This Row],[CancelDate]]),"Active","Churned")</f>
        <v>Churned</v>
      </c>
      <c r="M384">
        <f ca="1">IF(ISBLANK(Table1[[#This Row],[CancelDate]]),DATEDIF(Table1[[#This Row],[JoinDate]],TODAY(),"M"),DATEDIF(Table1[[#This Row],[JoinDate]],Table1[[#This Row],[CancelDate]],"M"))</f>
        <v>9</v>
      </c>
      <c r="N384" t="str">
        <f>IF(Table1[[#This Row],[EngagementScore]]&lt;=40,"Low",IF(Table1[[#This Row],[EngagementScore]]&lt;=70,"Medium","High"))</f>
        <v>Low</v>
      </c>
      <c r="O384" t="str">
        <f>IF(Table1[[#This Row],[Age]]&lt;25,"18-24",
IF(Table1[[#This Row],[Age]]&lt;35,"25-34",
IF(Table1[[#This Row],[Age]]&lt;45,"35-44","45+")))</f>
        <v>18-24</v>
      </c>
    </row>
    <row r="385" spans="1:15" x14ac:dyDescent="0.25">
      <c r="A385" t="s">
        <v>394</v>
      </c>
      <c r="B385" s="4">
        <v>45107</v>
      </c>
      <c r="D385">
        <v>39</v>
      </c>
      <c r="E385" t="s">
        <v>911</v>
      </c>
      <c r="F385" t="s">
        <v>914</v>
      </c>
      <c r="G385" t="s">
        <v>921</v>
      </c>
      <c r="H385">
        <v>8326.52</v>
      </c>
      <c r="I385">
        <v>13</v>
      </c>
      <c r="J385">
        <v>60</v>
      </c>
      <c r="K385" t="s">
        <v>923</v>
      </c>
      <c r="L385" t="str">
        <f>IF(ISBLANK(Table1[[#This Row],[CancelDate]]),"Active","Churned")</f>
        <v>Active</v>
      </c>
      <c r="M385">
        <f ca="1">IF(ISBLANK(Table1[[#This Row],[CancelDate]]),DATEDIF(Table1[[#This Row],[JoinDate]],TODAY(),"M"),DATEDIF(Table1[[#This Row],[JoinDate]],Table1[[#This Row],[CancelDate]],"M"))</f>
        <v>33</v>
      </c>
      <c r="N385" t="str">
        <f>IF(Table1[[#This Row],[EngagementScore]]&lt;=40,"Low",IF(Table1[[#This Row],[EngagementScore]]&lt;=70,"Medium","High"))</f>
        <v>Medium</v>
      </c>
      <c r="O385" t="str">
        <f>IF(Table1[[#This Row],[Age]]&lt;25,"18-24",
IF(Table1[[#This Row],[Age]]&lt;35,"25-34",
IF(Table1[[#This Row],[Age]]&lt;45,"35-44","45+")))</f>
        <v>35-44</v>
      </c>
    </row>
    <row r="386" spans="1:15" x14ac:dyDescent="0.25">
      <c r="A386" t="s">
        <v>395</v>
      </c>
      <c r="B386" s="4">
        <v>45095</v>
      </c>
      <c r="D386">
        <v>45</v>
      </c>
      <c r="E386" t="s">
        <v>912</v>
      </c>
      <c r="F386" t="s">
        <v>918</v>
      </c>
      <c r="G386" t="s">
        <v>922</v>
      </c>
      <c r="H386">
        <v>5977.48</v>
      </c>
      <c r="I386">
        <v>7</v>
      </c>
      <c r="J386">
        <v>29</v>
      </c>
      <c r="K386" t="s">
        <v>925</v>
      </c>
      <c r="L386" t="str">
        <f>IF(ISBLANK(Table1[[#This Row],[CancelDate]]),"Active","Churned")</f>
        <v>Active</v>
      </c>
      <c r="M386">
        <f ca="1">IF(ISBLANK(Table1[[#This Row],[CancelDate]]),DATEDIF(Table1[[#This Row],[JoinDate]],TODAY(),"M"),DATEDIF(Table1[[#This Row],[JoinDate]],Table1[[#This Row],[CancelDate]],"M"))</f>
        <v>33</v>
      </c>
      <c r="N386" t="str">
        <f>IF(Table1[[#This Row],[EngagementScore]]&lt;=40,"Low",IF(Table1[[#This Row],[EngagementScore]]&lt;=70,"Medium","High"))</f>
        <v>Low</v>
      </c>
      <c r="O386" t="str">
        <f>IF(Table1[[#This Row],[Age]]&lt;25,"18-24",
IF(Table1[[#This Row],[Age]]&lt;35,"25-34",
IF(Table1[[#This Row],[Age]]&lt;45,"35-44","45+")))</f>
        <v>45+</v>
      </c>
    </row>
    <row r="387" spans="1:15" x14ac:dyDescent="0.25">
      <c r="A387" t="s">
        <v>396</v>
      </c>
      <c r="B387" s="4">
        <v>45396</v>
      </c>
      <c r="C387" s="1">
        <v>45737</v>
      </c>
      <c r="D387">
        <v>59</v>
      </c>
      <c r="E387" t="s">
        <v>912</v>
      </c>
      <c r="F387" t="s">
        <v>914</v>
      </c>
      <c r="G387" t="s">
        <v>922</v>
      </c>
      <c r="H387">
        <v>6301.43</v>
      </c>
      <c r="I387">
        <v>3</v>
      </c>
      <c r="J387">
        <v>19</v>
      </c>
      <c r="K387" t="s">
        <v>925</v>
      </c>
      <c r="L387" t="str">
        <f>IF(ISBLANK(Table1[[#This Row],[CancelDate]]),"Active","Churned")</f>
        <v>Churned</v>
      </c>
      <c r="M387">
        <f ca="1">IF(ISBLANK(Table1[[#This Row],[CancelDate]]),DATEDIF(Table1[[#This Row],[JoinDate]],TODAY(),"M"),DATEDIF(Table1[[#This Row],[JoinDate]],Table1[[#This Row],[CancelDate]],"M"))</f>
        <v>11</v>
      </c>
      <c r="N387" t="str">
        <f>IF(Table1[[#This Row],[EngagementScore]]&lt;=40,"Low",IF(Table1[[#This Row],[EngagementScore]]&lt;=70,"Medium","High"))</f>
        <v>Low</v>
      </c>
      <c r="O387" t="str">
        <f>IF(Table1[[#This Row],[Age]]&lt;25,"18-24",
IF(Table1[[#This Row],[Age]]&lt;35,"25-34",
IF(Table1[[#This Row],[Age]]&lt;45,"35-44","45+")))</f>
        <v>45+</v>
      </c>
    </row>
    <row r="388" spans="1:15" x14ac:dyDescent="0.25">
      <c r="A388" t="s">
        <v>397</v>
      </c>
      <c r="B388" s="4">
        <v>44829</v>
      </c>
      <c r="C388" s="1">
        <v>45129</v>
      </c>
      <c r="D388">
        <v>46</v>
      </c>
      <c r="E388" t="s">
        <v>912</v>
      </c>
      <c r="F388" t="s">
        <v>919</v>
      </c>
      <c r="G388" t="s">
        <v>920</v>
      </c>
      <c r="H388">
        <v>13872.08</v>
      </c>
      <c r="I388">
        <v>5</v>
      </c>
      <c r="J388">
        <v>54</v>
      </c>
      <c r="K388" t="s">
        <v>925</v>
      </c>
      <c r="L388" t="str">
        <f>IF(ISBLANK(Table1[[#This Row],[CancelDate]]),"Active","Churned")</f>
        <v>Churned</v>
      </c>
      <c r="M388">
        <f ca="1">IF(ISBLANK(Table1[[#This Row],[CancelDate]]),DATEDIF(Table1[[#This Row],[JoinDate]],TODAY(),"M"),DATEDIF(Table1[[#This Row],[JoinDate]],Table1[[#This Row],[CancelDate]],"M"))</f>
        <v>9</v>
      </c>
      <c r="N388" t="str">
        <f>IF(Table1[[#This Row],[EngagementScore]]&lt;=40,"Low",IF(Table1[[#This Row],[EngagementScore]]&lt;=70,"Medium","High"))</f>
        <v>Medium</v>
      </c>
      <c r="O388" t="str">
        <f>IF(Table1[[#This Row],[Age]]&lt;25,"18-24",
IF(Table1[[#This Row],[Age]]&lt;35,"25-34",
IF(Table1[[#This Row],[Age]]&lt;45,"35-44","45+")))</f>
        <v>45+</v>
      </c>
    </row>
    <row r="389" spans="1:15" x14ac:dyDescent="0.25">
      <c r="A389" t="s">
        <v>398</v>
      </c>
      <c r="B389" s="4">
        <v>44865</v>
      </c>
      <c r="D389">
        <v>51</v>
      </c>
      <c r="E389" t="s">
        <v>911</v>
      </c>
      <c r="F389" t="s">
        <v>915</v>
      </c>
      <c r="G389" t="s">
        <v>920</v>
      </c>
      <c r="H389">
        <v>13866.76</v>
      </c>
      <c r="I389">
        <v>10</v>
      </c>
      <c r="J389">
        <v>53</v>
      </c>
      <c r="K389" t="s">
        <v>923</v>
      </c>
      <c r="L389" t="str">
        <f>IF(ISBLANK(Table1[[#This Row],[CancelDate]]),"Active","Churned")</f>
        <v>Active</v>
      </c>
      <c r="M389">
        <f ca="1">IF(ISBLANK(Table1[[#This Row],[CancelDate]]),DATEDIF(Table1[[#This Row],[JoinDate]],TODAY(),"M"),DATEDIF(Table1[[#This Row],[JoinDate]],Table1[[#This Row],[CancelDate]],"M"))</f>
        <v>41</v>
      </c>
      <c r="N389" t="str">
        <f>IF(Table1[[#This Row],[EngagementScore]]&lt;=40,"Low",IF(Table1[[#This Row],[EngagementScore]]&lt;=70,"Medium","High"))</f>
        <v>Medium</v>
      </c>
      <c r="O389" t="str">
        <f>IF(Table1[[#This Row],[Age]]&lt;25,"18-24",
IF(Table1[[#This Row],[Age]]&lt;35,"25-34",
IF(Table1[[#This Row],[Age]]&lt;45,"35-44","45+")))</f>
        <v>45+</v>
      </c>
    </row>
    <row r="390" spans="1:15" x14ac:dyDescent="0.25">
      <c r="A390" t="s">
        <v>399</v>
      </c>
      <c r="B390" s="4">
        <v>44701</v>
      </c>
      <c r="D390">
        <v>19</v>
      </c>
      <c r="E390" t="s">
        <v>912</v>
      </c>
      <c r="F390" t="s">
        <v>915</v>
      </c>
      <c r="G390" t="s">
        <v>921</v>
      </c>
      <c r="H390">
        <v>22276.77</v>
      </c>
      <c r="I390">
        <v>17</v>
      </c>
      <c r="J390">
        <v>74</v>
      </c>
      <c r="K390" t="s">
        <v>923</v>
      </c>
      <c r="L390" t="str">
        <f>IF(ISBLANK(Table1[[#This Row],[CancelDate]]),"Active","Churned")</f>
        <v>Active</v>
      </c>
      <c r="M390">
        <f ca="1">IF(ISBLANK(Table1[[#This Row],[CancelDate]]),DATEDIF(Table1[[#This Row],[JoinDate]],TODAY(),"M"),DATEDIF(Table1[[#This Row],[JoinDate]],Table1[[#This Row],[CancelDate]],"M"))</f>
        <v>46</v>
      </c>
      <c r="N390" t="str">
        <f>IF(Table1[[#This Row],[EngagementScore]]&lt;=40,"Low",IF(Table1[[#This Row],[EngagementScore]]&lt;=70,"Medium","High"))</f>
        <v>High</v>
      </c>
      <c r="O390" t="str">
        <f>IF(Table1[[#This Row],[Age]]&lt;25,"18-24",
IF(Table1[[#This Row],[Age]]&lt;35,"25-34",
IF(Table1[[#This Row],[Age]]&lt;45,"35-44","45+")))</f>
        <v>18-24</v>
      </c>
    </row>
    <row r="391" spans="1:15" x14ac:dyDescent="0.25">
      <c r="A391" t="s">
        <v>400</v>
      </c>
      <c r="B391" s="4">
        <v>44598</v>
      </c>
      <c r="C391" s="1">
        <v>44815</v>
      </c>
      <c r="D391">
        <v>30</v>
      </c>
      <c r="E391" t="s">
        <v>911</v>
      </c>
      <c r="F391" t="s">
        <v>914</v>
      </c>
      <c r="G391" t="s">
        <v>922</v>
      </c>
      <c r="H391">
        <v>3838.86</v>
      </c>
      <c r="I391">
        <v>7</v>
      </c>
      <c r="J391">
        <v>12</v>
      </c>
      <c r="K391" t="s">
        <v>925</v>
      </c>
      <c r="L391" t="str">
        <f>IF(ISBLANK(Table1[[#This Row],[CancelDate]]),"Active","Churned")</f>
        <v>Churned</v>
      </c>
      <c r="M391">
        <f ca="1">IF(ISBLANK(Table1[[#This Row],[CancelDate]]),DATEDIF(Table1[[#This Row],[JoinDate]],TODAY(),"M"),DATEDIF(Table1[[#This Row],[JoinDate]],Table1[[#This Row],[CancelDate]],"M"))</f>
        <v>7</v>
      </c>
      <c r="N391" t="str">
        <f>IF(Table1[[#This Row],[EngagementScore]]&lt;=40,"Low",IF(Table1[[#This Row],[EngagementScore]]&lt;=70,"Medium","High"))</f>
        <v>Low</v>
      </c>
      <c r="O391" t="str">
        <f>IF(Table1[[#This Row],[Age]]&lt;25,"18-24",
IF(Table1[[#This Row],[Age]]&lt;35,"25-34",
IF(Table1[[#This Row],[Age]]&lt;45,"35-44","45+")))</f>
        <v>25-34</v>
      </c>
    </row>
    <row r="392" spans="1:15" x14ac:dyDescent="0.25">
      <c r="A392" t="s">
        <v>401</v>
      </c>
      <c r="B392" s="4">
        <v>45018</v>
      </c>
      <c r="D392">
        <v>43</v>
      </c>
      <c r="E392" t="s">
        <v>911</v>
      </c>
      <c r="F392" t="s">
        <v>914</v>
      </c>
      <c r="G392" t="s">
        <v>920</v>
      </c>
      <c r="H392">
        <v>16336.43</v>
      </c>
      <c r="I392">
        <v>15</v>
      </c>
      <c r="J392">
        <v>81</v>
      </c>
      <c r="K392" t="s">
        <v>925</v>
      </c>
      <c r="L392" t="str">
        <f>IF(ISBLANK(Table1[[#This Row],[CancelDate]]),"Active","Churned")</f>
        <v>Active</v>
      </c>
      <c r="M392">
        <f ca="1">IF(ISBLANK(Table1[[#This Row],[CancelDate]]),DATEDIF(Table1[[#This Row],[JoinDate]],TODAY(),"M"),DATEDIF(Table1[[#This Row],[JoinDate]],Table1[[#This Row],[CancelDate]],"M"))</f>
        <v>36</v>
      </c>
      <c r="N392" t="str">
        <f>IF(Table1[[#This Row],[EngagementScore]]&lt;=40,"Low",IF(Table1[[#This Row],[EngagementScore]]&lt;=70,"Medium","High"))</f>
        <v>High</v>
      </c>
      <c r="O392" t="str">
        <f>IF(Table1[[#This Row],[Age]]&lt;25,"18-24",
IF(Table1[[#This Row],[Age]]&lt;35,"25-34",
IF(Table1[[#This Row],[Age]]&lt;45,"35-44","45+")))</f>
        <v>35-44</v>
      </c>
    </row>
    <row r="393" spans="1:15" x14ac:dyDescent="0.25">
      <c r="A393" t="s">
        <v>402</v>
      </c>
      <c r="B393" s="4">
        <v>45311</v>
      </c>
      <c r="D393">
        <v>24</v>
      </c>
      <c r="E393" t="s">
        <v>912</v>
      </c>
      <c r="F393" t="s">
        <v>916</v>
      </c>
      <c r="G393" t="s">
        <v>921</v>
      </c>
      <c r="H393">
        <v>3532.59</v>
      </c>
      <c r="I393">
        <v>6</v>
      </c>
      <c r="J393">
        <v>35</v>
      </c>
      <c r="K393" t="s">
        <v>925</v>
      </c>
      <c r="L393" t="str">
        <f>IF(ISBLANK(Table1[[#This Row],[CancelDate]]),"Active","Churned")</f>
        <v>Active</v>
      </c>
      <c r="M393">
        <f ca="1">IF(ISBLANK(Table1[[#This Row],[CancelDate]]),DATEDIF(Table1[[#This Row],[JoinDate]],TODAY(),"M"),DATEDIF(Table1[[#This Row],[JoinDate]],Table1[[#This Row],[CancelDate]],"M"))</f>
        <v>26</v>
      </c>
      <c r="N393" t="str">
        <f>IF(Table1[[#This Row],[EngagementScore]]&lt;=40,"Low",IF(Table1[[#This Row],[EngagementScore]]&lt;=70,"Medium","High"))</f>
        <v>Low</v>
      </c>
      <c r="O393" t="str">
        <f>IF(Table1[[#This Row],[Age]]&lt;25,"18-24",
IF(Table1[[#This Row],[Age]]&lt;35,"25-34",
IF(Table1[[#This Row],[Age]]&lt;45,"35-44","45+")))</f>
        <v>18-24</v>
      </c>
    </row>
    <row r="394" spans="1:15" x14ac:dyDescent="0.25">
      <c r="A394" t="s">
        <v>403</v>
      </c>
      <c r="B394" s="4">
        <v>45245</v>
      </c>
      <c r="C394" s="1">
        <v>45423</v>
      </c>
      <c r="D394">
        <v>53</v>
      </c>
      <c r="E394" t="s">
        <v>911</v>
      </c>
      <c r="F394" t="s">
        <v>915</v>
      </c>
      <c r="G394" t="s">
        <v>922</v>
      </c>
      <c r="H394">
        <v>9707.4</v>
      </c>
      <c r="I394">
        <v>5</v>
      </c>
      <c r="J394">
        <v>67</v>
      </c>
      <c r="K394" t="s">
        <v>925</v>
      </c>
      <c r="L394" t="str">
        <f>IF(ISBLANK(Table1[[#This Row],[CancelDate]]),"Active","Churned")</f>
        <v>Churned</v>
      </c>
      <c r="M394">
        <f ca="1">IF(ISBLANK(Table1[[#This Row],[CancelDate]]),DATEDIF(Table1[[#This Row],[JoinDate]],TODAY(),"M"),DATEDIF(Table1[[#This Row],[JoinDate]],Table1[[#This Row],[CancelDate]],"M"))</f>
        <v>5</v>
      </c>
      <c r="N394" t="str">
        <f>IF(Table1[[#This Row],[EngagementScore]]&lt;=40,"Low",IF(Table1[[#This Row],[EngagementScore]]&lt;=70,"Medium","High"))</f>
        <v>Medium</v>
      </c>
      <c r="O394" t="str">
        <f>IF(Table1[[#This Row],[Age]]&lt;25,"18-24",
IF(Table1[[#This Row],[Age]]&lt;35,"25-34",
IF(Table1[[#This Row],[Age]]&lt;45,"35-44","45+")))</f>
        <v>45+</v>
      </c>
    </row>
    <row r="395" spans="1:15" x14ac:dyDescent="0.25">
      <c r="A395" t="s">
        <v>404</v>
      </c>
      <c r="B395" s="4">
        <v>45327</v>
      </c>
      <c r="D395">
        <v>28</v>
      </c>
      <c r="E395" t="s">
        <v>912</v>
      </c>
      <c r="F395" t="s">
        <v>919</v>
      </c>
      <c r="G395" t="s">
        <v>921</v>
      </c>
      <c r="H395">
        <v>3456.49</v>
      </c>
      <c r="I395">
        <v>2</v>
      </c>
      <c r="J395">
        <v>20</v>
      </c>
      <c r="K395" t="s">
        <v>923</v>
      </c>
      <c r="L395" t="str">
        <f>IF(ISBLANK(Table1[[#This Row],[CancelDate]]),"Active","Churned")</f>
        <v>Active</v>
      </c>
      <c r="M395">
        <f ca="1">IF(ISBLANK(Table1[[#This Row],[CancelDate]]),DATEDIF(Table1[[#This Row],[JoinDate]],TODAY(),"M"),DATEDIF(Table1[[#This Row],[JoinDate]],Table1[[#This Row],[CancelDate]],"M"))</f>
        <v>25</v>
      </c>
      <c r="N395" t="str">
        <f>IF(Table1[[#This Row],[EngagementScore]]&lt;=40,"Low",IF(Table1[[#This Row],[EngagementScore]]&lt;=70,"Medium","High"))</f>
        <v>Low</v>
      </c>
      <c r="O395" t="str">
        <f>IF(Table1[[#This Row],[Age]]&lt;25,"18-24",
IF(Table1[[#This Row],[Age]]&lt;35,"25-34",
IF(Table1[[#This Row],[Age]]&lt;45,"35-44","45+")))</f>
        <v>25-34</v>
      </c>
    </row>
    <row r="396" spans="1:15" x14ac:dyDescent="0.25">
      <c r="A396" t="s">
        <v>405</v>
      </c>
      <c r="B396" s="4">
        <v>45273</v>
      </c>
      <c r="C396" s="1">
        <v>45413</v>
      </c>
      <c r="D396">
        <v>43</v>
      </c>
      <c r="E396" t="s">
        <v>912</v>
      </c>
      <c r="F396" t="s">
        <v>916</v>
      </c>
      <c r="G396" t="s">
        <v>921</v>
      </c>
      <c r="H396">
        <v>2547.1999999999998</v>
      </c>
      <c r="I396">
        <v>1</v>
      </c>
      <c r="J396">
        <v>39</v>
      </c>
      <c r="K396" t="s">
        <v>923</v>
      </c>
      <c r="L396" t="str">
        <f>IF(ISBLANK(Table1[[#This Row],[CancelDate]]),"Active","Churned")</f>
        <v>Churned</v>
      </c>
      <c r="M396">
        <f ca="1">IF(ISBLANK(Table1[[#This Row],[CancelDate]]),DATEDIF(Table1[[#This Row],[JoinDate]],TODAY(),"M"),DATEDIF(Table1[[#This Row],[JoinDate]],Table1[[#This Row],[CancelDate]],"M"))</f>
        <v>4</v>
      </c>
      <c r="N396" t="str">
        <f>IF(Table1[[#This Row],[EngagementScore]]&lt;=40,"Low",IF(Table1[[#This Row],[EngagementScore]]&lt;=70,"Medium","High"))</f>
        <v>Low</v>
      </c>
      <c r="O396" t="str">
        <f>IF(Table1[[#This Row],[Age]]&lt;25,"18-24",
IF(Table1[[#This Row],[Age]]&lt;35,"25-34",
IF(Table1[[#This Row],[Age]]&lt;45,"35-44","45+")))</f>
        <v>35-44</v>
      </c>
    </row>
    <row r="397" spans="1:15" x14ac:dyDescent="0.25">
      <c r="A397" t="s">
        <v>406</v>
      </c>
      <c r="B397" s="4">
        <v>45383</v>
      </c>
      <c r="D397">
        <v>37</v>
      </c>
      <c r="E397" t="s">
        <v>912</v>
      </c>
      <c r="F397" t="s">
        <v>914</v>
      </c>
      <c r="G397" t="s">
        <v>921</v>
      </c>
      <c r="H397">
        <v>6008.54</v>
      </c>
      <c r="I397">
        <v>14</v>
      </c>
      <c r="J397">
        <v>40</v>
      </c>
      <c r="K397" t="s">
        <v>923</v>
      </c>
      <c r="L397" t="str">
        <f>IF(ISBLANK(Table1[[#This Row],[CancelDate]]),"Active","Churned")</f>
        <v>Active</v>
      </c>
      <c r="M397">
        <f ca="1">IF(ISBLANK(Table1[[#This Row],[CancelDate]]),DATEDIF(Table1[[#This Row],[JoinDate]],TODAY(),"M"),DATEDIF(Table1[[#This Row],[JoinDate]],Table1[[#This Row],[CancelDate]],"M"))</f>
        <v>24</v>
      </c>
      <c r="N397" t="str">
        <f>IF(Table1[[#This Row],[EngagementScore]]&lt;=40,"Low",IF(Table1[[#This Row],[EngagementScore]]&lt;=70,"Medium","High"))</f>
        <v>Low</v>
      </c>
      <c r="O397" t="str">
        <f>IF(Table1[[#This Row],[Age]]&lt;25,"18-24",
IF(Table1[[#This Row],[Age]]&lt;35,"25-34",
IF(Table1[[#This Row],[Age]]&lt;45,"35-44","45+")))</f>
        <v>35-44</v>
      </c>
    </row>
    <row r="398" spans="1:15" x14ac:dyDescent="0.25">
      <c r="A398" t="s">
        <v>407</v>
      </c>
      <c r="B398" s="4">
        <v>45337</v>
      </c>
      <c r="D398">
        <v>40</v>
      </c>
      <c r="E398" t="s">
        <v>911</v>
      </c>
      <c r="F398" t="s">
        <v>919</v>
      </c>
      <c r="G398" t="s">
        <v>921</v>
      </c>
      <c r="H398">
        <v>21427.9</v>
      </c>
      <c r="I398">
        <v>29</v>
      </c>
      <c r="J398">
        <v>80</v>
      </c>
      <c r="K398" t="s">
        <v>923</v>
      </c>
      <c r="L398" t="str">
        <f>IF(ISBLANK(Table1[[#This Row],[CancelDate]]),"Active","Churned")</f>
        <v>Active</v>
      </c>
      <c r="M398">
        <f ca="1">IF(ISBLANK(Table1[[#This Row],[CancelDate]]),DATEDIF(Table1[[#This Row],[JoinDate]],TODAY(),"M"),DATEDIF(Table1[[#This Row],[JoinDate]],Table1[[#This Row],[CancelDate]],"M"))</f>
        <v>25</v>
      </c>
      <c r="N398" t="str">
        <f>IF(Table1[[#This Row],[EngagementScore]]&lt;=40,"Low",IF(Table1[[#This Row],[EngagementScore]]&lt;=70,"Medium","High"))</f>
        <v>High</v>
      </c>
      <c r="O398" t="str">
        <f>IF(Table1[[#This Row],[Age]]&lt;25,"18-24",
IF(Table1[[#This Row],[Age]]&lt;35,"25-34",
IF(Table1[[#This Row],[Age]]&lt;45,"35-44","45+")))</f>
        <v>35-44</v>
      </c>
    </row>
    <row r="399" spans="1:15" x14ac:dyDescent="0.25">
      <c r="A399" t="s">
        <v>408</v>
      </c>
      <c r="B399" s="4">
        <v>44967</v>
      </c>
      <c r="D399">
        <v>35</v>
      </c>
      <c r="E399" t="s">
        <v>911</v>
      </c>
      <c r="F399" t="s">
        <v>917</v>
      </c>
      <c r="G399" t="s">
        <v>921</v>
      </c>
      <c r="H399">
        <v>4399.71</v>
      </c>
      <c r="I399">
        <v>1</v>
      </c>
      <c r="J399">
        <v>30</v>
      </c>
      <c r="K399" t="s">
        <v>925</v>
      </c>
      <c r="L399" t="str">
        <f>IF(ISBLANK(Table1[[#This Row],[CancelDate]]),"Active","Churned")</f>
        <v>Active</v>
      </c>
      <c r="M399">
        <f ca="1">IF(ISBLANK(Table1[[#This Row],[CancelDate]]),DATEDIF(Table1[[#This Row],[JoinDate]],TODAY(),"M"),DATEDIF(Table1[[#This Row],[JoinDate]],Table1[[#This Row],[CancelDate]],"M"))</f>
        <v>37</v>
      </c>
      <c r="N399" t="str">
        <f>IF(Table1[[#This Row],[EngagementScore]]&lt;=40,"Low",IF(Table1[[#This Row],[EngagementScore]]&lt;=70,"Medium","High"))</f>
        <v>Low</v>
      </c>
      <c r="O399" t="str">
        <f>IF(Table1[[#This Row],[Age]]&lt;25,"18-24",
IF(Table1[[#This Row],[Age]]&lt;35,"25-34",
IF(Table1[[#This Row],[Age]]&lt;45,"35-44","45+")))</f>
        <v>35-44</v>
      </c>
    </row>
    <row r="400" spans="1:15" x14ac:dyDescent="0.25">
      <c r="A400" t="s">
        <v>409</v>
      </c>
      <c r="B400" s="4">
        <v>44688</v>
      </c>
      <c r="D400">
        <v>56</v>
      </c>
      <c r="E400" t="s">
        <v>912</v>
      </c>
      <c r="F400" t="s">
        <v>917</v>
      </c>
      <c r="G400" t="s">
        <v>921</v>
      </c>
      <c r="H400">
        <v>12221.63</v>
      </c>
      <c r="I400">
        <v>17</v>
      </c>
      <c r="J400">
        <v>80</v>
      </c>
      <c r="K400" t="s">
        <v>925</v>
      </c>
      <c r="L400" t="str">
        <f>IF(ISBLANK(Table1[[#This Row],[CancelDate]]),"Active","Churned")</f>
        <v>Active</v>
      </c>
      <c r="M400">
        <f ca="1">IF(ISBLANK(Table1[[#This Row],[CancelDate]]),DATEDIF(Table1[[#This Row],[JoinDate]],TODAY(),"M"),DATEDIF(Table1[[#This Row],[JoinDate]],Table1[[#This Row],[CancelDate]],"M"))</f>
        <v>46</v>
      </c>
      <c r="N400" t="str">
        <f>IF(Table1[[#This Row],[EngagementScore]]&lt;=40,"Low",IF(Table1[[#This Row],[EngagementScore]]&lt;=70,"Medium","High"))</f>
        <v>High</v>
      </c>
      <c r="O400" t="str">
        <f>IF(Table1[[#This Row],[Age]]&lt;25,"18-24",
IF(Table1[[#This Row],[Age]]&lt;35,"25-34",
IF(Table1[[#This Row],[Age]]&lt;45,"35-44","45+")))</f>
        <v>45+</v>
      </c>
    </row>
    <row r="401" spans="1:15" x14ac:dyDescent="0.25">
      <c r="A401" t="s">
        <v>410</v>
      </c>
      <c r="B401" s="4">
        <v>44837</v>
      </c>
      <c r="C401" s="1">
        <v>44990</v>
      </c>
      <c r="D401">
        <v>47</v>
      </c>
      <c r="E401" t="s">
        <v>911</v>
      </c>
      <c r="F401" t="s">
        <v>918</v>
      </c>
      <c r="G401" t="s">
        <v>922</v>
      </c>
      <c r="H401">
        <v>5164.3999999999996</v>
      </c>
      <c r="I401">
        <v>1</v>
      </c>
      <c r="J401">
        <v>38</v>
      </c>
      <c r="K401" t="s">
        <v>925</v>
      </c>
      <c r="L401" t="str">
        <f>IF(ISBLANK(Table1[[#This Row],[CancelDate]]),"Active","Churned")</f>
        <v>Churned</v>
      </c>
      <c r="M401">
        <f ca="1">IF(ISBLANK(Table1[[#This Row],[CancelDate]]),DATEDIF(Table1[[#This Row],[JoinDate]],TODAY(),"M"),DATEDIF(Table1[[#This Row],[JoinDate]],Table1[[#This Row],[CancelDate]],"M"))</f>
        <v>5</v>
      </c>
      <c r="N401" t="str">
        <f>IF(Table1[[#This Row],[EngagementScore]]&lt;=40,"Low",IF(Table1[[#This Row],[EngagementScore]]&lt;=70,"Medium","High"))</f>
        <v>Low</v>
      </c>
      <c r="O401" t="str">
        <f>IF(Table1[[#This Row],[Age]]&lt;25,"18-24",
IF(Table1[[#This Row],[Age]]&lt;35,"25-34",
IF(Table1[[#This Row],[Age]]&lt;45,"35-44","45+")))</f>
        <v>45+</v>
      </c>
    </row>
    <row r="402" spans="1:15" x14ac:dyDescent="0.25">
      <c r="A402" t="s">
        <v>411</v>
      </c>
      <c r="B402" s="4">
        <v>45416</v>
      </c>
      <c r="D402">
        <v>50</v>
      </c>
      <c r="E402" t="s">
        <v>912</v>
      </c>
      <c r="F402" t="s">
        <v>916</v>
      </c>
      <c r="G402" t="s">
        <v>922</v>
      </c>
      <c r="H402">
        <v>7783.5</v>
      </c>
      <c r="I402">
        <v>5</v>
      </c>
      <c r="J402">
        <v>23</v>
      </c>
      <c r="K402" t="s">
        <v>924</v>
      </c>
      <c r="L402" t="str">
        <f>IF(ISBLANK(Table1[[#This Row],[CancelDate]]),"Active","Churned")</f>
        <v>Active</v>
      </c>
      <c r="M402">
        <f ca="1">IF(ISBLANK(Table1[[#This Row],[CancelDate]]),DATEDIF(Table1[[#This Row],[JoinDate]],TODAY(),"M"),DATEDIF(Table1[[#This Row],[JoinDate]],Table1[[#This Row],[CancelDate]],"M"))</f>
        <v>22</v>
      </c>
      <c r="N402" t="str">
        <f>IF(Table1[[#This Row],[EngagementScore]]&lt;=40,"Low",IF(Table1[[#This Row],[EngagementScore]]&lt;=70,"Medium","High"))</f>
        <v>Low</v>
      </c>
      <c r="O402" t="str">
        <f>IF(Table1[[#This Row],[Age]]&lt;25,"18-24",
IF(Table1[[#This Row],[Age]]&lt;35,"25-34",
IF(Table1[[#This Row],[Age]]&lt;45,"35-44","45+")))</f>
        <v>45+</v>
      </c>
    </row>
    <row r="403" spans="1:15" x14ac:dyDescent="0.25">
      <c r="A403" t="s">
        <v>412</v>
      </c>
      <c r="B403" s="4">
        <v>44863</v>
      </c>
      <c r="D403">
        <v>24</v>
      </c>
      <c r="E403" t="s">
        <v>912</v>
      </c>
      <c r="F403" t="s">
        <v>916</v>
      </c>
      <c r="G403" t="s">
        <v>922</v>
      </c>
      <c r="H403">
        <v>9044.89</v>
      </c>
      <c r="I403">
        <v>14</v>
      </c>
      <c r="J403">
        <v>54</v>
      </c>
      <c r="K403" t="s">
        <v>924</v>
      </c>
      <c r="L403" t="str">
        <f>IF(ISBLANK(Table1[[#This Row],[CancelDate]]),"Active","Churned")</f>
        <v>Active</v>
      </c>
      <c r="M403">
        <f ca="1">IF(ISBLANK(Table1[[#This Row],[CancelDate]]),DATEDIF(Table1[[#This Row],[JoinDate]],TODAY(),"M"),DATEDIF(Table1[[#This Row],[JoinDate]],Table1[[#This Row],[CancelDate]],"M"))</f>
        <v>41</v>
      </c>
      <c r="N403" t="str">
        <f>IF(Table1[[#This Row],[EngagementScore]]&lt;=40,"Low",IF(Table1[[#This Row],[EngagementScore]]&lt;=70,"Medium","High"))</f>
        <v>Medium</v>
      </c>
      <c r="O403" t="str">
        <f>IF(Table1[[#This Row],[Age]]&lt;25,"18-24",
IF(Table1[[#This Row],[Age]]&lt;35,"25-34",
IF(Table1[[#This Row],[Age]]&lt;45,"35-44","45+")))</f>
        <v>18-24</v>
      </c>
    </row>
    <row r="404" spans="1:15" x14ac:dyDescent="0.25">
      <c r="A404" t="s">
        <v>413</v>
      </c>
      <c r="B404" s="4">
        <v>44996</v>
      </c>
      <c r="D404">
        <v>34</v>
      </c>
      <c r="E404" t="s">
        <v>912</v>
      </c>
      <c r="F404" t="s">
        <v>918</v>
      </c>
      <c r="G404" t="s">
        <v>922</v>
      </c>
      <c r="H404">
        <v>4794.5200000000004</v>
      </c>
      <c r="I404">
        <v>1</v>
      </c>
      <c r="J404">
        <v>23</v>
      </c>
      <c r="K404" t="s">
        <v>913</v>
      </c>
      <c r="L404" t="str">
        <f>IF(ISBLANK(Table1[[#This Row],[CancelDate]]),"Active","Churned")</f>
        <v>Active</v>
      </c>
      <c r="M404">
        <f ca="1">IF(ISBLANK(Table1[[#This Row],[CancelDate]]),DATEDIF(Table1[[#This Row],[JoinDate]],TODAY(),"M"),DATEDIF(Table1[[#This Row],[JoinDate]],Table1[[#This Row],[CancelDate]],"M"))</f>
        <v>36</v>
      </c>
      <c r="N404" t="str">
        <f>IF(Table1[[#This Row],[EngagementScore]]&lt;=40,"Low",IF(Table1[[#This Row],[EngagementScore]]&lt;=70,"Medium","High"))</f>
        <v>Low</v>
      </c>
      <c r="O404" t="str">
        <f>IF(Table1[[#This Row],[Age]]&lt;25,"18-24",
IF(Table1[[#This Row],[Age]]&lt;35,"25-34",
IF(Table1[[#This Row],[Age]]&lt;45,"35-44","45+")))</f>
        <v>25-34</v>
      </c>
    </row>
    <row r="405" spans="1:15" x14ac:dyDescent="0.25">
      <c r="A405" t="s">
        <v>414</v>
      </c>
      <c r="B405" s="4">
        <v>44789</v>
      </c>
      <c r="D405">
        <v>31</v>
      </c>
      <c r="E405" t="s">
        <v>912</v>
      </c>
      <c r="F405" t="s">
        <v>918</v>
      </c>
      <c r="G405" t="s">
        <v>922</v>
      </c>
      <c r="H405">
        <v>14109.48</v>
      </c>
      <c r="I405">
        <v>9</v>
      </c>
      <c r="J405">
        <v>44</v>
      </c>
      <c r="K405" t="s">
        <v>925</v>
      </c>
      <c r="L405" t="str">
        <f>IF(ISBLANK(Table1[[#This Row],[CancelDate]]),"Active","Churned")</f>
        <v>Active</v>
      </c>
      <c r="M405">
        <f ca="1">IF(ISBLANK(Table1[[#This Row],[CancelDate]]),DATEDIF(Table1[[#This Row],[JoinDate]],TODAY(),"M"),DATEDIF(Table1[[#This Row],[JoinDate]],Table1[[#This Row],[CancelDate]],"M"))</f>
        <v>43</v>
      </c>
      <c r="N405" t="str">
        <f>IF(Table1[[#This Row],[EngagementScore]]&lt;=40,"Low",IF(Table1[[#This Row],[EngagementScore]]&lt;=70,"Medium","High"))</f>
        <v>Medium</v>
      </c>
      <c r="O405" t="str">
        <f>IF(Table1[[#This Row],[Age]]&lt;25,"18-24",
IF(Table1[[#This Row],[Age]]&lt;35,"25-34",
IF(Table1[[#This Row],[Age]]&lt;45,"35-44","45+")))</f>
        <v>25-34</v>
      </c>
    </row>
    <row r="406" spans="1:15" x14ac:dyDescent="0.25">
      <c r="A406" t="s">
        <v>415</v>
      </c>
      <c r="B406" s="4">
        <v>45456</v>
      </c>
      <c r="C406" s="1">
        <v>45814</v>
      </c>
      <c r="D406">
        <v>32</v>
      </c>
      <c r="E406" t="s">
        <v>912</v>
      </c>
      <c r="F406" t="s">
        <v>915</v>
      </c>
      <c r="G406" t="s">
        <v>921</v>
      </c>
      <c r="H406">
        <v>2586.52</v>
      </c>
      <c r="I406">
        <v>7</v>
      </c>
      <c r="J406">
        <v>17</v>
      </c>
      <c r="K406" t="s">
        <v>923</v>
      </c>
      <c r="L406" t="str">
        <f>IF(ISBLANK(Table1[[#This Row],[CancelDate]]),"Active","Churned")</f>
        <v>Churned</v>
      </c>
      <c r="M406">
        <f ca="1">IF(ISBLANK(Table1[[#This Row],[CancelDate]]),DATEDIF(Table1[[#This Row],[JoinDate]],TODAY(),"M"),DATEDIF(Table1[[#This Row],[JoinDate]],Table1[[#This Row],[CancelDate]],"M"))</f>
        <v>11</v>
      </c>
      <c r="N406" t="str">
        <f>IF(Table1[[#This Row],[EngagementScore]]&lt;=40,"Low",IF(Table1[[#This Row],[EngagementScore]]&lt;=70,"Medium","High"))</f>
        <v>Low</v>
      </c>
      <c r="O406" t="str">
        <f>IF(Table1[[#This Row],[Age]]&lt;25,"18-24",
IF(Table1[[#This Row],[Age]]&lt;35,"25-34",
IF(Table1[[#This Row],[Age]]&lt;45,"35-44","45+")))</f>
        <v>25-34</v>
      </c>
    </row>
    <row r="407" spans="1:15" x14ac:dyDescent="0.25">
      <c r="A407" t="s">
        <v>416</v>
      </c>
      <c r="B407" s="4">
        <v>45411</v>
      </c>
      <c r="D407">
        <v>19</v>
      </c>
      <c r="E407" t="s">
        <v>911</v>
      </c>
      <c r="F407" t="s">
        <v>918</v>
      </c>
      <c r="G407" t="s">
        <v>922</v>
      </c>
      <c r="H407">
        <v>13407.9</v>
      </c>
      <c r="I407">
        <v>8</v>
      </c>
      <c r="J407">
        <v>44</v>
      </c>
      <c r="K407" t="s">
        <v>923</v>
      </c>
      <c r="L407" t="str">
        <f>IF(ISBLANK(Table1[[#This Row],[CancelDate]]),"Active","Churned")</f>
        <v>Active</v>
      </c>
      <c r="M407">
        <f ca="1">IF(ISBLANK(Table1[[#This Row],[CancelDate]]),DATEDIF(Table1[[#This Row],[JoinDate]],TODAY(),"M"),DATEDIF(Table1[[#This Row],[JoinDate]],Table1[[#This Row],[CancelDate]],"M"))</f>
        <v>23</v>
      </c>
      <c r="N407" t="str">
        <f>IF(Table1[[#This Row],[EngagementScore]]&lt;=40,"Low",IF(Table1[[#This Row],[EngagementScore]]&lt;=70,"Medium","High"))</f>
        <v>Medium</v>
      </c>
      <c r="O407" t="str">
        <f>IF(Table1[[#This Row],[Age]]&lt;25,"18-24",
IF(Table1[[#This Row],[Age]]&lt;35,"25-34",
IF(Table1[[#This Row],[Age]]&lt;45,"35-44","45+")))</f>
        <v>18-24</v>
      </c>
    </row>
    <row r="408" spans="1:15" x14ac:dyDescent="0.25">
      <c r="A408" t="s">
        <v>417</v>
      </c>
      <c r="B408" s="4">
        <v>45107</v>
      </c>
      <c r="D408">
        <v>48</v>
      </c>
      <c r="E408" t="s">
        <v>911</v>
      </c>
      <c r="F408" t="s">
        <v>916</v>
      </c>
      <c r="G408" t="s">
        <v>922</v>
      </c>
      <c r="H408">
        <v>19912.54</v>
      </c>
      <c r="I408">
        <v>25</v>
      </c>
      <c r="J408">
        <v>81</v>
      </c>
      <c r="K408" t="s">
        <v>923</v>
      </c>
      <c r="L408" t="str">
        <f>IF(ISBLANK(Table1[[#This Row],[CancelDate]]),"Active","Churned")</f>
        <v>Active</v>
      </c>
      <c r="M408">
        <f ca="1">IF(ISBLANK(Table1[[#This Row],[CancelDate]]),DATEDIF(Table1[[#This Row],[JoinDate]],TODAY(),"M"),DATEDIF(Table1[[#This Row],[JoinDate]],Table1[[#This Row],[CancelDate]],"M"))</f>
        <v>33</v>
      </c>
      <c r="N408" t="str">
        <f>IF(Table1[[#This Row],[EngagementScore]]&lt;=40,"Low",IF(Table1[[#This Row],[EngagementScore]]&lt;=70,"Medium","High"))</f>
        <v>High</v>
      </c>
      <c r="O408" t="str">
        <f>IF(Table1[[#This Row],[Age]]&lt;25,"18-24",
IF(Table1[[#This Row],[Age]]&lt;35,"25-34",
IF(Table1[[#This Row],[Age]]&lt;45,"35-44","45+")))</f>
        <v>45+</v>
      </c>
    </row>
    <row r="409" spans="1:15" x14ac:dyDescent="0.25">
      <c r="A409" t="s">
        <v>418</v>
      </c>
      <c r="B409" s="4">
        <v>45338</v>
      </c>
      <c r="D409">
        <v>35</v>
      </c>
      <c r="E409" t="s">
        <v>911</v>
      </c>
      <c r="F409" t="s">
        <v>915</v>
      </c>
      <c r="G409" t="s">
        <v>922</v>
      </c>
      <c r="H409">
        <v>10845.51</v>
      </c>
      <c r="I409">
        <v>10</v>
      </c>
      <c r="J409">
        <v>52</v>
      </c>
      <c r="K409" t="s">
        <v>924</v>
      </c>
      <c r="L409" t="str">
        <f>IF(ISBLANK(Table1[[#This Row],[CancelDate]]),"Active","Churned")</f>
        <v>Active</v>
      </c>
      <c r="M409">
        <f ca="1">IF(ISBLANK(Table1[[#This Row],[CancelDate]]),DATEDIF(Table1[[#This Row],[JoinDate]],TODAY(),"M"),DATEDIF(Table1[[#This Row],[JoinDate]],Table1[[#This Row],[CancelDate]],"M"))</f>
        <v>25</v>
      </c>
      <c r="N409" t="str">
        <f>IF(Table1[[#This Row],[EngagementScore]]&lt;=40,"Low",IF(Table1[[#This Row],[EngagementScore]]&lt;=70,"Medium","High"))</f>
        <v>Medium</v>
      </c>
      <c r="O409" t="str">
        <f>IF(Table1[[#This Row],[Age]]&lt;25,"18-24",
IF(Table1[[#This Row],[Age]]&lt;35,"25-34",
IF(Table1[[#This Row],[Age]]&lt;45,"35-44","45+")))</f>
        <v>35-44</v>
      </c>
    </row>
    <row r="410" spans="1:15" x14ac:dyDescent="0.25">
      <c r="A410" t="s">
        <v>419</v>
      </c>
      <c r="B410" s="4">
        <v>45446</v>
      </c>
      <c r="C410" s="1">
        <v>45805</v>
      </c>
      <c r="D410">
        <v>52</v>
      </c>
      <c r="E410" t="s">
        <v>912</v>
      </c>
      <c r="F410" t="s">
        <v>918</v>
      </c>
      <c r="G410" t="s">
        <v>921</v>
      </c>
      <c r="H410">
        <v>6949.21</v>
      </c>
      <c r="I410">
        <v>5</v>
      </c>
      <c r="J410">
        <v>20</v>
      </c>
      <c r="K410" t="s">
        <v>913</v>
      </c>
      <c r="L410" t="str">
        <f>IF(ISBLANK(Table1[[#This Row],[CancelDate]]),"Active","Churned")</f>
        <v>Churned</v>
      </c>
      <c r="M410">
        <f ca="1">IF(ISBLANK(Table1[[#This Row],[CancelDate]]),DATEDIF(Table1[[#This Row],[JoinDate]],TODAY(),"M"),DATEDIF(Table1[[#This Row],[JoinDate]],Table1[[#This Row],[CancelDate]],"M"))</f>
        <v>11</v>
      </c>
      <c r="N410" t="str">
        <f>IF(Table1[[#This Row],[EngagementScore]]&lt;=40,"Low",IF(Table1[[#This Row],[EngagementScore]]&lt;=70,"Medium","High"))</f>
        <v>Low</v>
      </c>
      <c r="O410" t="str">
        <f>IF(Table1[[#This Row],[Age]]&lt;25,"18-24",
IF(Table1[[#This Row],[Age]]&lt;35,"25-34",
IF(Table1[[#This Row],[Age]]&lt;45,"35-44","45+")))</f>
        <v>45+</v>
      </c>
    </row>
    <row r="411" spans="1:15" x14ac:dyDescent="0.25">
      <c r="A411" t="s">
        <v>420</v>
      </c>
      <c r="B411" s="4">
        <v>45281</v>
      </c>
      <c r="D411">
        <v>51</v>
      </c>
      <c r="E411" t="s">
        <v>911</v>
      </c>
      <c r="F411" t="s">
        <v>919</v>
      </c>
      <c r="G411" t="s">
        <v>920</v>
      </c>
      <c r="H411">
        <v>12217.93</v>
      </c>
      <c r="I411">
        <v>22</v>
      </c>
      <c r="J411">
        <v>92</v>
      </c>
      <c r="K411" t="s">
        <v>925</v>
      </c>
      <c r="L411" t="str">
        <f>IF(ISBLANK(Table1[[#This Row],[CancelDate]]),"Active","Churned")</f>
        <v>Active</v>
      </c>
      <c r="M411">
        <f ca="1">IF(ISBLANK(Table1[[#This Row],[CancelDate]]),DATEDIF(Table1[[#This Row],[JoinDate]],TODAY(),"M"),DATEDIF(Table1[[#This Row],[JoinDate]],Table1[[#This Row],[CancelDate]],"M"))</f>
        <v>27</v>
      </c>
      <c r="N411" t="str">
        <f>IF(Table1[[#This Row],[EngagementScore]]&lt;=40,"Low",IF(Table1[[#This Row],[EngagementScore]]&lt;=70,"Medium","High"))</f>
        <v>High</v>
      </c>
      <c r="O411" t="str">
        <f>IF(Table1[[#This Row],[Age]]&lt;25,"18-24",
IF(Table1[[#This Row],[Age]]&lt;35,"25-34",
IF(Table1[[#This Row],[Age]]&lt;45,"35-44","45+")))</f>
        <v>45+</v>
      </c>
    </row>
    <row r="412" spans="1:15" x14ac:dyDescent="0.25">
      <c r="A412" t="s">
        <v>421</v>
      </c>
      <c r="B412" s="4">
        <v>45348</v>
      </c>
      <c r="C412" s="1">
        <v>45663</v>
      </c>
      <c r="D412">
        <v>18</v>
      </c>
      <c r="E412" t="s">
        <v>912</v>
      </c>
      <c r="F412" t="s">
        <v>916</v>
      </c>
      <c r="G412" t="s">
        <v>921</v>
      </c>
      <c r="H412">
        <v>4748.03</v>
      </c>
      <c r="I412">
        <v>1</v>
      </c>
      <c r="J412">
        <v>15</v>
      </c>
      <c r="K412" t="s">
        <v>923</v>
      </c>
      <c r="L412" t="str">
        <f>IF(ISBLANK(Table1[[#This Row],[CancelDate]]),"Active","Churned")</f>
        <v>Churned</v>
      </c>
      <c r="M412">
        <f ca="1">IF(ISBLANK(Table1[[#This Row],[CancelDate]]),DATEDIF(Table1[[#This Row],[JoinDate]],TODAY(),"M"),DATEDIF(Table1[[#This Row],[JoinDate]],Table1[[#This Row],[CancelDate]],"M"))</f>
        <v>10</v>
      </c>
      <c r="N412" t="str">
        <f>IF(Table1[[#This Row],[EngagementScore]]&lt;=40,"Low",IF(Table1[[#This Row],[EngagementScore]]&lt;=70,"Medium","High"))</f>
        <v>Low</v>
      </c>
      <c r="O412" t="str">
        <f>IF(Table1[[#This Row],[Age]]&lt;25,"18-24",
IF(Table1[[#This Row],[Age]]&lt;35,"25-34",
IF(Table1[[#This Row],[Age]]&lt;45,"35-44","45+")))</f>
        <v>18-24</v>
      </c>
    </row>
    <row r="413" spans="1:15" x14ac:dyDescent="0.25">
      <c r="A413" t="s">
        <v>422</v>
      </c>
      <c r="B413" s="4">
        <v>45005</v>
      </c>
      <c r="D413">
        <v>37</v>
      </c>
      <c r="E413" t="s">
        <v>912</v>
      </c>
      <c r="F413" t="s">
        <v>918</v>
      </c>
      <c r="G413" t="s">
        <v>921</v>
      </c>
      <c r="H413">
        <v>6019.2</v>
      </c>
      <c r="I413">
        <v>9</v>
      </c>
      <c r="J413">
        <v>50</v>
      </c>
      <c r="K413" t="s">
        <v>925</v>
      </c>
      <c r="L413" t="str">
        <f>IF(ISBLANK(Table1[[#This Row],[CancelDate]]),"Active","Churned")</f>
        <v>Active</v>
      </c>
      <c r="M413">
        <f ca="1">IF(ISBLANK(Table1[[#This Row],[CancelDate]]),DATEDIF(Table1[[#This Row],[JoinDate]],TODAY(),"M"),DATEDIF(Table1[[#This Row],[JoinDate]],Table1[[#This Row],[CancelDate]],"M"))</f>
        <v>36</v>
      </c>
      <c r="N413" t="str">
        <f>IF(Table1[[#This Row],[EngagementScore]]&lt;=40,"Low",IF(Table1[[#This Row],[EngagementScore]]&lt;=70,"Medium","High"))</f>
        <v>Medium</v>
      </c>
      <c r="O413" t="str">
        <f>IF(Table1[[#This Row],[Age]]&lt;25,"18-24",
IF(Table1[[#This Row],[Age]]&lt;35,"25-34",
IF(Table1[[#This Row],[Age]]&lt;45,"35-44","45+")))</f>
        <v>35-44</v>
      </c>
    </row>
    <row r="414" spans="1:15" x14ac:dyDescent="0.25">
      <c r="A414" t="s">
        <v>423</v>
      </c>
      <c r="B414" s="4">
        <v>45155</v>
      </c>
      <c r="D414">
        <v>46</v>
      </c>
      <c r="E414" t="s">
        <v>912</v>
      </c>
      <c r="F414" t="s">
        <v>916</v>
      </c>
      <c r="G414" t="s">
        <v>922</v>
      </c>
      <c r="H414">
        <v>11750.4</v>
      </c>
      <c r="I414">
        <v>5</v>
      </c>
      <c r="J414">
        <v>47</v>
      </c>
      <c r="K414" t="s">
        <v>924</v>
      </c>
      <c r="L414" t="str">
        <f>IF(ISBLANK(Table1[[#This Row],[CancelDate]]),"Active","Churned")</f>
        <v>Active</v>
      </c>
      <c r="M414">
        <f ca="1">IF(ISBLANK(Table1[[#This Row],[CancelDate]]),DATEDIF(Table1[[#This Row],[JoinDate]],TODAY(),"M"),DATEDIF(Table1[[#This Row],[JoinDate]],Table1[[#This Row],[CancelDate]],"M"))</f>
        <v>31</v>
      </c>
      <c r="N414" t="str">
        <f>IF(Table1[[#This Row],[EngagementScore]]&lt;=40,"Low",IF(Table1[[#This Row],[EngagementScore]]&lt;=70,"Medium","High"))</f>
        <v>Medium</v>
      </c>
      <c r="O414" t="str">
        <f>IF(Table1[[#This Row],[Age]]&lt;25,"18-24",
IF(Table1[[#This Row],[Age]]&lt;35,"25-34",
IF(Table1[[#This Row],[Age]]&lt;45,"35-44","45+")))</f>
        <v>45+</v>
      </c>
    </row>
    <row r="415" spans="1:15" x14ac:dyDescent="0.25">
      <c r="A415" t="s">
        <v>424</v>
      </c>
      <c r="B415" s="4">
        <v>44665</v>
      </c>
      <c r="D415">
        <v>23</v>
      </c>
      <c r="E415" t="s">
        <v>911</v>
      </c>
      <c r="F415" t="s">
        <v>918</v>
      </c>
      <c r="G415" t="s">
        <v>921</v>
      </c>
      <c r="H415">
        <v>6424.51</v>
      </c>
      <c r="I415">
        <v>7</v>
      </c>
      <c r="J415">
        <v>24</v>
      </c>
      <c r="K415" t="s">
        <v>924</v>
      </c>
      <c r="L415" t="str">
        <f>IF(ISBLANK(Table1[[#This Row],[CancelDate]]),"Active","Churned")</f>
        <v>Active</v>
      </c>
      <c r="M415">
        <f ca="1">IF(ISBLANK(Table1[[#This Row],[CancelDate]]),DATEDIF(Table1[[#This Row],[JoinDate]],TODAY(),"M"),DATEDIF(Table1[[#This Row],[JoinDate]],Table1[[#This Row],[CancelDate]],"M"))</f>
        <v>47</v>
      </c>
      <c r="N415" t="str">
        <f>IF(Table1[[#This Row],[EngagementScore]]&lt;=40,"Low",IF(Table1[[#This Row],[EngagementScore]]&lt;=70,"Medium","High"))</f>
        <v>Low</v>
      </c>
      <c r="O415" t="str">
        <f>IF(Table1[[#This Row],[Age]]&lt;25,"18-24",
IF(Table1[[#This Row],[Age]]&lt;35,"25-34",
IF(Table1[[#This Row],[Age]]&lt;45,"35-44","45+")))</f>
        <v>18-24</v>
      </c>
    </row>
    <row r="416" spans="1:15" x14ac:dyDescent="0.25">
      <c r="A416" t="s">
        <v>425</v>
      </c>
      <c r="B416" s="4">
        <v>45458</v>
      </c>
      <c r="C416" s="1">
        <v>45686</v>
      </c>
      <c r="D416">
        <v>38</v>
      </c>
      <c r="E416" t="s">
        <v>911</v>
      </c>
      <c r="F416" t="s">
        <v>918</v>
      </c>
      <c r="G416" t="s">
        <v>922</v>
      </c>
      <c r="H416">
        <v>3916.7</v>
      </c>
      <c r="I416">
        <v>1</v>
      </c>
      <c r="J416">
        <v>29</v>
      </c>
      <c r="K416" t="s">
        <v>924</v>
      </c>
      <c r="L416" t="str">
        <f>IF(ISBLANK(Table1[[#This Row],[CancelDate]]),"Active","Churned")</f>
        <v>Churned</v>
      </c>
      <c r="M416">
        <f ca="1">IF(ISBLANK(Table1[[#This Row],[CancelDate]]),DATEDIF(Table1[[#This Row],[JoinDate]],TODAY(),"M"),DATEDIF(Table1[[#This Row],[JoinDate]],Table1[[#This Row],[CancelDate]],"M"))</f>
        <v>7</v>
      </c>
      <c r="N416" t="str">
        <f>IF(Table1[[#This Row],[EngagementScore]]&lt;=40,"Low",IF(Table1[[#This Row],[EngagementScore]]&lt;=70,"Medium","High"))</f>
        <v>Low</v>
      </c>
      <c r="O416" t="str">
        <f>IF(Table1[[#This Row],[Age]]&lt;25,"18-24",
IF(Table1[[#This Row],[Age]]&lt;35,"25-34",
IF(Table1[[#This Row],[Age]]&lt;45,"35-44","45+")))</f>
        <v>35-44</v>
      </c>
    </row>
    <row r="417" spans="1:15" x14ac:dyDescent="0.25">
      <c r="A417" t="s">
        <v>426</v>
      </c>
      <c r="B417" s="4">
        <v>45146</v>
      </c>
      <c r="D417">
        <v>37</v>
      </c>
      <c r="E417" t="s">
        <v>911</v>
      </c>
      <c r="F417" t="s">
        <v>915</v>
      </c>
      <c r="G417" t="s">
        <v>921</v>
      </c>
      <c r="H417">
        <v>14445.57</v>
      </c>
      <c r="I417">
        <v>7</v>
      </c>
      <c r="J417">
        <v>47</v>
      </c>
      <c r="K417" t="s">
        <v>923</v>
      </c>
      <c r="L417" t="str">
        <f>IF(ISBLANK(Table1[[#This Row],[CancelDate]]),"Active","Churned")</f>
        <v>Active</v>
      </c>
      <c r="M417">
        <f ca="1">IF(ISBLANK(Table1[[#This Row],[CancelDate]]),DATEDIF(Table1[[#This Row],[JoinDate]],TODAY(),"M"),DATEDIF(Table1[[#This Row],[JoinDate]],Table1[[#This Row],[CancelDate]],"M"))</f>
        <v>31</v>
      </c>
      <c r="N417" t="str">
        <f>IF(Table1[[#This Row],[EngagementScore]]&lt;=40,"Low",IF(Table1[[#This Row],[EngagementScore]]&lt;=70,"Medium","High"))</f>
        <v>Medium</v>
      </c>
      <c r="O417" t="str">
        <f>IF(Table1[[#This Row],[Age]]&lt;25,"18-24",
IF(Table1[[#This Row],[Age]]&lt;35,"25-34",
IF(Table1[[#This Row],[Age]]&lt;45,"35-44","45+")))</f>
        <v>35-44</v>
      </c>
    </row>
    <row r="418" spans="1:15" x14ac:dyDescent="0.25">
      <c r="A418" t="s">
        <v>427</v>
      </c>
      <c r="B418" s="4">
        <v>44714</v>
      </c>
      <c r="D418">
        <v>58</v>
      </c>
      <c r="E418" t="s">
        <v>912</v>
      </c>
      <c r="F418" t="s">
        <v>914</v>
      </c>
      <c r="G418" t="s">
        <v>921</v>
      </c>
      <c r="H418">
        <v>5878.39</v>
      </c>
      <c r="I418">
        <v>7</v>
      </c>
      <c r="J418">
        <v>10</v>
      </c>
      <c r="K418" t="s">
        <v>924</v>
      </c>
      <c r="L418" t="str">
        <f>IF(ISBLANK(Table1[[#This Row],[CancelDate]]),"Active","Churned")</f>
        <v>Active</v>
      </c>
      <c r="M418">
        <f ca="1">IF(ISBLANK(Table1[[#This Row],[CancelDate]]),DATEDIF(Table1[[#This Row],[JoinDate]],TODAY(),"M"),DATEDIF(Table1[[#This Row],[JoinDate]],Table1[[#This Row],[CancelDate]],"M"))</f>
        <v>46</v>
      </c>
      <c r="N418" t="str">
        <f>IF(Table1[[#This Row],[EngagementScore]]&lt;=40,"Low",IF(Table1[[#This Row],[EngagementScore]]&lt;=70,"Medium","High"))</f>
        <v>Low</v>
      </c>
      <c r="O418" t="str">
        <f>IF(Table1[[#This Row],[Age]]&lt;25,"18-24",
IF(Table1[[#This Row],[Age]]&lt;35,"25-34",
IF(Table1[[#This Row],[Age]]&lt;45,"35-44","45+")))</f>
        <v>45+</v>
      </c>
    </row>
    <row r="419" spans="1:15" x14ac:dyDescent="0.25">
      <c r="A419" t="s">
        <v>428</v>
      </c>
      <c r="B419" s="4">
        <v>44830</v>
      </c>
      <c r="D419">
        <v>19</v>
      </c>
      <c r="E419" t="s">
        <v>912</v>
      </c>
      <c r="F419" t="s">
        <v>918</v>
      </c>
      <c r="G419" t="s">
        <v>920</v>
      </c>
      <c r="H419">
        <v>12342.39</v>
      </c>
      <c r="I419">
        <v>5</v>
      </c>
      <c r="J419">
        <v>41</v>
      </c>
      <c r="K419" t="s">
        <v>925</v>
      </c>
      <c r="L419" t="str">
        <f>IF(ISBLANK(Table1[[#This Row],[CancelDate]]),"Active","Churned")</f>
        <v>Active</v>
      </c>
      <c r="M419">
        <f ca="1">IF(ISBLANK(Table1[[#This Row],[CancelDate]]),DATEDIF(Table1[[#This Row],[JoinDate]],TODAY(),"M"),DATEDIF(Table1[[#This Row],[JoinDate]],Table1[[#This Row],[CancelDate]],"M"))</f>
        <v>42</v>
      </c>
      <c r="N419" t="str">
        <f>IF(Table1[[#This Row],[EngagementScore]]&lt;=40,"Low",IF(Table1[[#This Row],[EngagementScore]]&lt;=70,"Medium","High"))</f>
        <v>Medium</v>
      </c>
      <c r="O419" t="str">
        <f>IF(Table1[[#This Row],[Age]]&lt;25,"18-24",
IF(Table1[[#This Row],[Age]]&lt;35,"25-34",
IF(Table1[[#This Row],[Age]]&lt;45,"35-44","45+")))</f>
        <v>18-24</v>
      </c>
    </row>
    <row r="420" spans="1:15" x14ac:dyDescent="0.25">
      <c r="A420" t="s">
        <v>429</v>
      </c>
      <c r="B420" s="4">
        <v>45251</v>
      </c>
      <c r="D420">
        <v>33</v>
      </c>
      <c r="E420" t="s">
        <v>911</v>
      </c>
      <c r="F420" t="s">
        <v>917</v>
      </c>
      <c r="G420" t="s">
        <v>922</v>
      </c>
      <c r="H420">
        <v>11287.84</v>
      </c>
      <c r="I420">
        <v>11</v>
      </c>
      <c r="J420">
        <v>62</v>
      </c>
      <c r="K420" t="s">
        <v>925</v>
      </c>
      <c r="L420" t="str">
        <f>IF(ISBLANK(Table1[[#This Row],[CancelDate]]),"Active","Churned")</f>
        <v>Active</v>
      </c>
      <c r="M420">
        <f ca="1">IF(ISBLANK(Table1[[#This Row],[CancelDate]]),DATEDIF(Table1[[#This Row],[JoinDate]],TODAY(),"M"),DATEDIF(Table1[[#This Row],[JoinDate]],Table1[[#This Row],[CancelDate]],"M"))</f>
        <v>28</v>
      </c>
      <c r="N420" t="str">
        <f>IF(Table1[[#This Row],[EngagementScore]]&lt;=40,"Low",IF(Table1[[#This Row],[EngagementScore]]&lt;=70,"Medium","High"))</f>
        <v>Medium</v>
      </c>
      <c r="O420" t="str">
        <f>IF(Table1[[#This Row],[Age]]&lt;25,"18-24",
IF(Table1[[#This Row],[Age]]&lt;35,"25-34",
IF(Table1[[#This Row],[Age]]&lt;45,"35-44","45+")))</f>
        <v>25-34</v>
      </c>
    </row>
    <row r="421" spans="1:15" x14ac:dyDescent="0.25">
      <c r="A421" t="s">
        <v>430</v>
      </c>
      <c r="B421" s="4">
        <v>44788</v>
      </c>
      <c r="D421">
        <v>33</v>
      </c>
      <c r="E421" t="s">
        <v>912</v>
      </c>
      <c r="F421" t="s">
        <v>918</v>
      </c>
      <c r="G421" t="s">
        <v>921</v>
      </c>
      <c r="H421">
        <v>13611.44</v>
      </c>
      <c r="I421">
        <v>22</v>
      </c>
      <c r="J421">
        <v>74</v>
      </c>
      <c r="K421" t="s">
        <v>925</v>
      </c>
      <c r="L421" t="str">
        <f>IF(ISBLANK(Table1[[#This Row],[CancelDate]]),"Active","Churned")</f>
        <v>Active</v>
      </c>
      <c r="M421">
        <f ca="1">IF(ISBLANK(Table1[[#This Row],[CancelDate]]),DATEDIF(Table1[[#This Row],[JoinDate]],TODAY(),"M"),DATEDIF(Table1[[#This Row],[JoinDate]],Table1[[#This Row],[CancelDate]],"M"))</f>
        <v>43</v>
      </c>
      <c r="N421" t="str">
        <f>IF(Table1[[#This Row],[EngagementScore]]&lt;=40,"Low",IF(Table1[[#This Row],[EngagementScore]]&lt;=70,"Medium","High"))</f>
        <v>High</v>
      </c>
      <c r="O421" t="str">
        <f>IF(Table1[[#This Row],[Age]]&lt;25,"18-24",
IF(Table1[[#This Row],[Age]]&lt;35,"25-34",
IF(Table1[[#This Row],[Age]]&lt;45,"35-44","45+")))</f>
        <v>25-34</v>
      </c>
    </row>
    <row r="422" spans="1:15" x14ac:dyDescent="0.25">
      <c r="A422" t="s">
        <v>431</v>
      </c>
      <c r="B422" s="4">
        <v>44757</v>
      </c>
      <c r="D422">
        <v>35</v>
      </c>
      <c r="E422" t="s">
        <v>911</v>
      </c>
      <c r="F422" t="s">
        <v>917</v>
      </c>
      <c r="G422" t="s">
        <v>920</v>
      </c>
      <c r="H422">
        <v>7001.58</v>
      </c>
      <c r="I422">
        <v>8</v>
      </c>
      <c r="J422">
        <v>51</v>
      </c>
      <c r="K422" t="s">
        <v>923</v>
      </c>
      <c r="L422" t="str">
        <f>IF(ISBLANK(Table1[[#This Row],[CancelDate]]),"Active","Churned")</f>
        <v>Active</v>
      </c>
      <c r="M422">
        <f ca="1">IF(ISBLANK(Table1[[#This Row],[CancelDate]]),DATEDIF(Table1[[#This Row],[JoinDate]],TODAY(),"M"),DATEDIF(Table1[[#This Row],[JoinDate]],Table1[[#This Row],[CancelDate]],"M"))</f>
        <v>44</v>
      </c>
      <c r="N422" t="str">
        <f>IF(Table1[[#This Row],[EngagementScore]]&lt;=40,"Low",IF(Table1[[#This Row],[EngagementScore]]&lt;=70,"Medium","High"))</f>
        <v>Medium</v>
      </c>
      <c r="O422" t="str">
        <f>IF(Table1[[#This Row],[Age]]&lt;25,"18-24",
IF(Table1[[#This Row],[Age]]&lt;35,"25-34",
IF(Table1[[#This Row],[Age]]&lt;45,"35-44","45+")))</f>
        <v>35-44</v>
      </c>
    </row>
    <row r="423" spans="1:15" x14ac:dyDescent="0.25">
      <c r="A423" t="s">
        <v>432</v>
      </c>
      <c r="B423" s="4">
        <v>44686</v>
      </c>
      <c r="D423">
        <v>27</v>
      </c>
      <c r="E423" t="s">
        <v>912</v>
      </c>
      <c r="F423" t="s">
        <v>914</v>
      </c>
      <c r="G423" t="s">
        <v>921</v>
      </c>
      <c r="H423">
        <v>12645.25</v>
      </c>
      <c r="I423">
        <v>13</v>
      </c>
      <c r="J423">
        <v>68</v>
      </c>
      <c r="K423" t="s">
        <v>924</v>
      </c>
      <c r="L423" t="str">
        <f>IF(ISBLANK(Table1[[#This Row],[CancelDate]]),"Active","Churned")</f>
        <v>Active</v>
      </c>
      <c r="M423">
        <f ca="1">IF(ISBLANK(Table1[[#This Row],[CancelDate]]),DATEDIF(Table1[[#This Row],[JoinDate]],TODAY(),"M"),DATEDIF(Table1[[#This Row],[JoinDate]],Table1[[#This Row],[CancelDate]],"M"))</f>
        <v>46</v>
      </c>
      <c r="N423" t="str">
        <f>IF(Table1[[#This Row],[EngagementScore]]&lt;=40,"Low",IF(Table1[[#This Row],[EngagementScore]]&lt;=70,"Medium","High"))</f>
        <v>Medium</v>
      </c>
      <c r="O423" t="str">
        <f>IF(Table1[[#This Row],[Age]]&lt;25,"18-24",
IF(Table1[[#This Row],[Age]]&lt;35,"25-34",
IF(Table1[[#This Row],[Age]]&lt;45,"35-44","45+")))</f>
        <v>25-34</v>
      </c>
    </row>
    <row r="424" spans="1:15" x14ac:dyDescent="0.25">
      <c r="A424" t="s">
        <v>433</v>
      </c>
      <c r="B424" s="4">
        <v>45170</v>
      </c>
      <c r="C424" s="1">
        <v>45441</v>
      </c>
      <c r="D424">
        <v>43</v>
      </c>
      <c r="E424" t="s">
        <v>911</v>
      </c>
      <c r="F424" t="s">
        <v>916</v>
      </c>
      <c r="G424" t="s">
        <v>922</v>
      </c>
      <c r="H424">
        <v>7628.56</v>
      </c>
      <c r="I424">
        <v>4</v>
      </c>
      <c r="J424">
        <v>23</v>
      </c>
      <c r="K424" t="s">
        <v>924</v>
      </c>
      <c r="L424" t="str">
        <f>IF(ISBLANK(Table1[[#This Row],[CancelDate]]),"Active","Churned")</f>
        <v>Churned</v>
      </c>
      <c r="M424">
        <f ca="1">IF(ISBLANK(Table1[[#This Row],[CancelDate]]),DATEDIF(Table1[[#This Row],[JoinDate]],TODAY(),"M"),DATEDIF(Table1[[#This Row],[JoinDate]],Table1[[#This Row],[CancelDate]],"M"))</f>
        <v>8</v>
      </c>
      <c r="N424" t="str">
        <f>IF(Table1[[#This Row],[EngagementScore]]&lt;=40,"Low",IF(Table1[[#This Row],[EngagementScore]]&lt;=70,"Medium","High"))</f>
        <v>Low</v>
      </c>
      <c r="O424" t="str">
        <f>IF(Table1[[#This Row],[Age]]&lt;25,"18-24",
IF(Table1[[#This Row],[Age]]&lt;35,"25-34",
IF(Table1[[#This Row],[Age]]&lt;45,"35-44","45+")))</f>
        <v>35-44</v>
      </c>
    </row>
    <row r="425" spans="1:15" x14ac:dyDescent="0.25">
      <c r="A425" t="s">
        <v>434</v>
      </c>
      <c r="B425" s="4">
        <v>45292</v>
      </c>
      <c r="D425">
        <v>51</v>
      </c>
      <c r="E425" t="s">
        <v>911</v>
      </c>
      <c r="F425" t="s">
        <v>917</v>
      </c>
      <c r="G425" t="s">
        <v>920</v>
      </c>
      <c r="H425">
        <v>25565.29</v>
      </c>
      <c r="I425">
        <v>27</v>
      </c>
      <c r="J425">
        <v>87</v>
      </c>
      <c r="K425" t="s">
        <v>925</v>
      </c>
      <c r="L425" t="str">
        <f>IF(ISBLANK(Table1[[#This Row],[CancelDate]]),"Active","Churned")</f>
        <v>Active</v>
      </c>
      <c r="M425">
        <f ca="1">IF(ISBLANK(Table1[[#This Row],[CancelDate]]),DATEDIF(Table1[[#This Row],[JoinDate]],TODAY(),"M"),DATEDIF(Table1[[#This Row],[JoinDate]],Table1[[#This Row],[CancelDate]],"M"))</f>
        <v>27</v>
      </c>
      <c r="N425" t="str">
        <f>IF(Table1[[#This Row],[EngagementScore]]&lt;=40,"Low",IF(Table1[[#This Row],[EngagementScore]]&lt;=70,"Medium","High"))</f>
        <v>High</v>
      </c>
      <c r="O425" t="str">
        <f>IF(Table1[[#This Row],[Age]]&lt;25,"18-24",
IF(Table1[[#This Row],[Age]]&lt;35,"25-34",
IF(Table1[[#This Row],[Age]]&lt;45,"35-44","45+")))</f>
        <v>45+</v>
      </c>
    </row>
    <row r="426" spans="1:15" x14ac:dyDescent="0.25">
      <c r="A426" t="s">
        <v>435</v>
      </c>
      <c r="B426" s="4">
        <v>44899</v>
      </c>
      <c r="C426" s="1">
        <v>45259</v>
      </c>
      <c r="D426">
        <v>20</v>
      </c>
      <c r="E426" t="s">
        <v>912</v>
      </c>
      <c r="F426" t="s">
        <v>918</v>
      </c>
      <c r="G426" t="s">
        <v>922</v>
      </c>
      <c r="H426">
        <v>4458.2700000000004</v>
      </c>
      <c r="I426">
        <v>1</v>
      </c>
      <c r="J426">
        <v>37</v>
      </c>
      <c r="K426" t="s">
        <v>923</v>
      </c>
      <c r="L426" t="str">
        <f>IF(ISBLANK(Table1[[#This Row],[CancelDate]]),"Active","Churned")</f>
        <v>Churned</v>
      </c>
      <c r="M426">
        <f ca="1">IF(ISBLANK(Table1[[#This Row],[CancelDate]]),DATEDIF(Table1[[#This Row],[JoinDate]],TODAY(),"M"),DATEDIF(Table1[[#This Row],[JoinDate]],Table1[[#This Row],[CancelDate]],"M"))</f>
        <v>11</v>
      </c>
      <c r="N426" t="str">
        <f>IF(Table1[[#This Row],[EngagementScore]]&lt;=40,"Low",IF(Table1[[#This Row],[EngagementScore]]&lt;=70,"Medium","High"))</f>
        <v>Low</v>
      </c>
      <c r="O426" t="str">
        <f>IF(Table1[[#This Row],[Age]]&lt;25,"18-24",
IF(Table1[[#This Row],[Age]]&lt;35,"25-34",
IF(Table1[[#This Row],[Age]]&lt;45,"35-44","45+")))</f>
        <v>18-24</v>
      </c>
    </row>
    <row r="427" spans="1:15" x14ac:dyDescent="0.25">
      <c r="A427" t="s">
        <v>436</v>
      </c>
      <c r="B427" s="4">
        <v>45277</v>
      </c>
      <c r="C427" s="1">
        <v>45582</v>
      </c>
      <c r="D427">
        <v>56</v>
      </c>
      <c r="E427" t="s">
        <v>911</v>
      </c>
      <c r="F427" t="s">
        <v>914</v>
      </c>
      <c r="G427" t="s">
        <v>921</v>
      </c>
      <c r="H427">
        <v>14114.65</v>
      </c>
      <c r="I427">
        <v>9</v>
      </c>
      <c r="J427">
        <v>64</v>
      </c>
      <c r="K427" t="s">
        <v>923</v>
      </c>
      <c r="L427" t="str">
        <f>IF(ISBLANK(Table1[[#This Row],[CancelDate]]),"Active","Churned")</f>
        <v>Churned</v>
      </c>
      <c r="M427">
        <f ca="1">IF(ISBLANK(Table1[[#This Row],[CancelDate]]),DATEDIF(Table1[[#This Row],[JoinDate]],TODAY(),"M"),DATEDIF(Table1[[#This Row],[JoinDate]],Table1[[#This Row],[CancelDate]],"M"))</f>
        <v>10</v>
      </c>
      <c r="N427" t="str">
        <f>IF(Table1[[#This Row],[EngagementScore]]&lt;=40,"Low",IF(Table1[[#This Row],[EngagementScore]]&lt;=70,"Medium","High"))</f>
        <v>Medium</v>
      </c>
      <c r="O427" t="str">
        <f>IF(Table1[[#This Row],[Age]]&lt;25,"18-24",
IF(Table1[[#This Row],[Age]]&lt;35,"25-34",
IF(Table1[[#This Row],[Age]]&lt;45,"35-44","45+")))</f>
        <v>45+</v>
      </c>
    </row>
    <row r="428" spans="1:15" x14ac:dyDescent="0.25">
      <c r="A428" t="s">
        <v>437</v>
      </c>
      <c r="B428" s="4">
        <v>44691</v>
      </c>
      <c r="C428" s="1">
        <v>44926</v>
      </c>
      <c r="D428">
        <v>18</v>
      </c>
      <c r="E428" t="s">
        <v>912</v>
      </c>
      <c r="F428" t="s">
        <v>916</v>
      </c>
      <c r="G428" t="s">
        <v>920</v>
      </c>
      <c r="H428">
        <v>14950.33</v>
      </c>
      <c r="I428">
        <v>10</v>
      </c>
      <c r="J428">
        <v>63</v>
      </c>
      <c r="K428" t="s">
        <v>925</v>
      </c>
      <c r="L428" t="str">
        <f>IF(ISBLANK(Table1[[#This Row],[CancelDate]]),"Active","Churned")</f>
        <v>Churned</v>
      </c>
      <c r="M428">
        <f ca="1">IF(ISBLANK(Table1[[#This Row],[CancelDate]]),DATEDIF(Table1[[#This Row],[JoinDate]],TODAY(),"M"),DATEDIF(Table1[[#This Row],[JoinDate]],Table1[[#This Row],[CancelDate]],"M"))</f>
        <v>7</v>
      </c>
      <c r="N428" t="str">
        <f>IF(Table1[[#This Row],[EngagementScore]]&lt;=40,"Low",IF(Table1[[#This Row],[EngagementScore]]&lt;=70,"Medium","High"))</f>
        <v>Medium</v>
      </c>
      <c r="O428" t="str">
        <f>IF(Table1[[#This Row],[Age]]&lt;25,"18-24",
IF(Table1[[#This Row],[Age]]&lt;35,"25-34",
IF(Table1[[#This Row],[Age]]&lt;45,"35-44","45+")))</f>
        <v>18-24</v>
      </c>
    </row>
    <row r="429" spans="1:15" x14ac:dyDescent="0.25">
      <c r="A429" t="s">
        <v>438</v>
      </c>
      <c r="B429" s="4">
        <v>45367</v>
      </c>
      <c r="C429" s="1">
        <v>45414</v>
      </c>
      <c r="D429">
        <v>46</v>
      </c>
      <c r="E429" t="s">
        <v>912</v>
      </c>
      <c r="F429" t="s">
        <v>919</v>
      </c>
      <c r="G429" t="s">
        <v>922</v>
      </c>
      <c r="H429">
        <v>6446.53</v>
      </c>
      <c r="I429">
        <v>4</v>
      </c>
      <c r="J429">
        <v>10</v>
      </c>
      <c r="K429" t="s">
        <v>923</v>
      </c>
      <c r="L429" t="str">
        <f>IF(ISBLANK(Table1[[#This Row],[CancelDate]]),"Active","Churned")</f>
        <v>Churned</v>
      </c>
      <c r="M429">
        <f ca="1">IF(ISBLANK(Table1[[#This Row],[CancelDate]]),DATEDIF(Table1[[#This Row],[JoinDate]],TODAY(),"M"),DATEDIF(Table1[[#This Row],[JoinDate]],Table1[[#This Row],[CancelDate]],"M"))</f>
        <v>1</v>
      </c>
      <c r="N429" t="str">
        <f>IF(Table1[[#This Row],[EngagementScore]]&lt;=40,"Low",IF(Table1[[#This Row],[EngagementScore]]&lt;=70,"Medium","High"))</f>
        <v>Low</v>
      </c>
      <c r="O429" t="str">
        <f>IF(Table1[[#This Row],[Age]]&lt;25,"18-24",
IF(Table1[[#This Row],[Age]]&lt;35,"25-34",
IF(Table1[[#This Row],[Age]]&lt;45,"35-44","45+")))</f>
        <v>45+</v>
      </c>
    </row>
    <row r="430" spans="1:15" x14ac:dyDescent="0.25">
      <c r="A430" t="s">
        <v>439</v>
      </c>
      <c r="B430" s="4">
        <v>45367</v>
      </c>
      <c r="C430" s="1">
        <v>45689</v>
      </c>
      <c r="D430">
        <v>18</v>
      </c>
      <c r="E430" t="s">
        <v>911</v>
      </c>
      <c r="F430" t="s">
        <v>916</v>
      </c>
      <c r="G430" t="s">
        <v>921</v>
      </c>
      <c r="H430">
        <v>14882.91</v>
      </c>
      <c r="I430">
        <v>12</v>
      </c>
      <c r="J430">
        <v>43</v>
      </c>
      <c r="K430" t="s">
        <v>923</v>
      </c>
      <c r="L430" t="str">
        <f>IF(ISBLANK(Table1[[#This Row],[CancelDate]]),"Active","Churned")</f>
        <v>Churned</v>
      </c>
      <c r="M430">
        <f ca="1">IF(ISBLANK(Table1[[#This Row],[CancelDate]]),DATEDIF(Table1[[#This Row],[JoinDate]],TODAY(),"M"),DATEDIF(Table1[[#This Row],[JoinDate]],Table1[[#This Row],[CancelDate]],"M"))</f>
        <v>10</v>
      </c>
      <c r="N430" t="str">
        <f>IF(Table1[[#This Row],[EngagementScore]]&lt;=40,"Low",IF(Table1[[#This Row],[EngagementScore]]&lt;=70,"Medium","High"))</f>
        <v>Medium</v>
      </c>
      <c r="O430" t="str">
        <f>IF(Table1[[#This Row],[Age]]&lt;25,"18-24",
IF(Table1[[#This Row],[Age]]&lt;35,"25-34",
IF(Table1[[#This Row],[Age]]&lt;45,"35-44","45+")))</f>
        <v>18-24</v>
      </c>
    </row>
    <row r="431" spans="1:15" x14ac:dyDescent="0.25">
      <c r="A431" t="s">
        <v>440</v>
      </c>
      <c r="B431" s="4">
        <v>45058</v>
      </c>
      <c r="C431" s="1">
        <v>45245</v>
      </c>
      <c r="D431">
        <v>26</v>
      </c>
      <c r="E431" t="s">
        <v>912</v>
      </c>
      <c r="F431" t="s">
        <v>918</v>
      </c>
      <c r="G431" t="s">
        <v>920</v>
      </c>
      <c r="H431">
        <v>2282.91</v>
      </c>
      <c r="I431">
        <v>7</v>
      </c>
      <c r="J431">
        <v>23</v>
      </c>
      <c r="K431" t="s">
        <v>925</v>
      </c>
      <c r="L431" t="str">
        <f>IF(ISBLANK(Table1[[#This Row],[CancelDate]]),"Active","Churned")</f>
        <v>Churned</v>
      </c>
      <c r="M431">
        <f ca="1">IF(ISBLANK(Table1[[#This Row],[CancelDate]]),DATEDIF(Table1[[#This Row],[JoinDate]],TODAY(),"M"),DATEDIF(Table1[[#This Row],[JoinDate]],Table1[[#This Row],[CancelDate]],"M"))</f>
        <v>6</v>
      </c>
      <c r="N431" t="str">
        <f>IF(Table1[[#This Row],[EngagementScore]]&lt;=40,"Low",IF(Table1[[#This Row],[EngagementScore]]&lt;=70,"Medium","High"))</f>
        <v>Low</v>
      </c>
      <c r="O431" t="str">
        <f>IF(Table1[[#This Row],[Age]]&lt;25,"18-24",
IF(Table1[[#This Row],[Age]]&lt;35,"25-34",
IF(Table1[[#This Row],[Age]]&lt;45,"35-44","45+")))</f>
        <v>25-34</v>
      </c>
    </row>
    <row r="432" spans="1:15" x14ac:dyDescent="0.25">
      <c r="A432" t="s">
        <v>441</v>
      </c>
      <c r="B432" s="4">
        <v>45421</v>
      </c>
      <c r="D432">
        <v>24</v>
      </c>
      <c r="E432" t="s">
        <v>911</v>
      </c>
      <c r="F432" t="s">
        <v>918</v>
      </c>
      <c r="G432" t="s">
        <v>922</v>
      </c>
      <c r="H432">
        <v>4947.09</v>
      </c>
      <c r="I432">
        <v>7</v>
      </c>
      <c r="J432">
        <v>25</v>
      </c>
      <c r="K432" t="s">
        <v>924</v>
      </c>
      <c r="L432" t="str">
        <f>IF(ISBLANK(Table1[[#This Row],[CancelDate]]),"Active","Churned")</f>
        <v>Active</v>
      </c>
      <c r="M432">
        <f ca="1">IF(ISBLANK(Table1[[#This Row],[CancelDate]]),DATEDIF(Table1[[#This Row],[JoinDate]],TODAY(),"M"),DATEDIF(Table1[[#This Row],[JoinDate]],Table1[[#This Row],[CancelDate]],"M"))</f>
        <v>22</v>
      </c>
      <c r="N432" t="str">
        <f>IF(Table1[[#This Row],[EngagementScore]]&lt;=40,"Low",IF(Table1[[#This Row],[EngagementScore]]&lt;=70,"Medium","High"))</f>
        <v>Low</v>
      </c>
      <c r="O432" t="str">
        <f>IF(Table1[[#This Row],[Age]]&lt;25,"18-24",
IF(Table1[[#This Row],[Age]]&lt;35,"25-34",
IF(Table1[[#This Row],[Age]]&lt;45,"35-44","45+")))</f>
        <v>18-24</v>
      </c>
    </row>
    <row r="433" spans="1:15" x14ac:dyDescent="0.25">
      <c r="A433" t="s">
        <v>442</v>
      </c>
      <c r="B433" s="4">
        <v>45285</v>
      </c>
      <c r="D433">
        <v>46</v>
      </c>
      <c r="E433" t="s">
        <v>911</v>
      </c>
      <c r="F433" t="s">
        <v>917</v>
      </c>
      <c r="G433" t="s">
        <v>921</v>
      </c>
      <c r="H433">
        <v>6216.51</v>
      </c>
      <c r="I433">
        <v>11</v>
      </c>
      <c r="J433">
        <v>55</v>
      </c>
      <c r="K433" t="s">
        <v>925</v>
      </c>
      <c r="L433" t="str">
        <f>IF(ISBLANK(Table1[[#This Row],[CancelDate]]),"Active","Churned")</f>
        <v>Active</v>
      </c>
      <c r="M433">
        <f ca="1">IF(ISBLANK(Table1[[#This Row],[CancelDate]]),DATEDIF(Table1[[#This Row],[JoinDate]],TODAY(),"M"),DATEDIF(Table1[[#This Row],[JoinDate]],Table1[[#This Row],[CancelDate]],"M"))</f>
        <v>27</v>
      </c>
      <c r="N433" t="str">
        <f>IF(Table1[[#This Row],[EngagementScore]]&lt;=40,"Low",IF(Table1[[#This Row],[EngagementScore]]&lt;=70,"Medium","High"))</f>
        <v>Medium</v>
      </c>
      <c r="O433" t="str">
        <f>IF(Table1[[#This Row],[Age]]&lt;25,"18-24",
IF(Table1[[#This Row],[Age]]&lt;35,"25-34",
IF(Table1[[#This Row],[Age]]&lt;45,"35-44","45+")))</f>
        <v>45+</v>
      </c>
    </row>
    <row r="434" spans="1:15" x14ac:dyDescent="0.25">
      <c r="A434" t="s">
        <v>443</v>
      </c>
      <c r="B434" s="4">
        <v>45117</v>
      </c>
      <c r="D434">
        <v>46</v>
      </c>
      <c r="E434" t="s">
        <v>911</v>
      </c>
      <c r="F434" t="s">
        <v>915</v>
      </c>
      <c r="G434" t="s">
        <v>921</v>
      </c>
      <c r="H434">
        <v>26230.31</v>
      </c>
      <c r="I434">
        <v>20</v>
      </c>
      <c r="J434">
        <v>99</v>
      </c>
      <c r="K434" t="s">
        <v>925</v>
      </c>
      <c r="L434" t="str">
        <f>IF(ISBLANK(Table1[[#This Row],[CancelDate]]),"Active","Churned")</f>
        <v>Active</v>
      </c>
      <c r="M434">
        <f ca="1">IF(ISBLANK(Table1[[#This Row],[CancelDate]]),DATEDIF(Table1[[#This Row],[JoinDate]],TODAY(),"M"),DATEDIF(Table1[[#This Row],[JoinDate]],Table1[[#This Row],[CancelDate]],"M"))</f>
        <v>32</v>
      </c>
      <c r="N434" t="str">
        <f>IF(Table1[[#This Row],[EngagementScore]]&lt;=40,"Low",IF(Table1[[#This Row],[EngagementScore]]&lt;=70,"Medium","High"))</f>
        <v>High</v>
      </c>
      <c r="O434" t="str">
        <f>IF(Table1[[#This Row],[Age]]&lt;25,"18-24",
IF(Table1[[#This Row],[Age]]&lt;35,"25-34",
IF(Table1[[#This Row],[Age]]&lt;45,"35-44","45+")))</f>
        <v>45+</v>
      </c>
    </row>
    <row r="435" spans="1:15" x14ac:dyDescent="0.25">
      <c r="A435" t="s">
        <v>444</v>
      </c>
      <c r="B435" s="4">
        <v>44740</v>
      </c>
      <c r="C435" s="1">
        <v>45036</v>
      </c>
      <c r="D435">
        <v>50</v>
      </c>
      <c r="E435" t="s">
        <v>911</v>
      </c>
      <c r="F435" t="s">
        <v>919</v>
      </c>
      <c r="G435" t="s">
        <v>921</v>
      </c>
      <c r="H435">
        <v>2855.6</v>
      </c>
      <c r="I435">
        <v>2</v>
      </c>
      <c r="J435">
        <v>28</v>
      </c>
      <c r="K435" t="s">
        <v>925</v>
      </c>
      <c r="L435" t="str">
        <f>IF(ISBLANK(Table1[[#This Row],[CancelDate]]),"Active","Churned")</f>
        <v>Churned</v>
      </c>
      <c r="M435">
        <f ca="1">IF(ISBLANK(Table1[[#This Row],[CancelDate]]),DATEDIF(Table1[[#This Row],[JoinDate]],TODAY(),"M"),DATEDIF(Table1[[#This Row],[JoinDate]],Table1[[#This Row],[CancelDate]],"M"))</f>
        <v>9</v>
      </c>
      <c r="N435" t="str">
        <f>IF(Table1[[#This Row],[EngagementScore]]&lt;=40,"Low",IF(Table1[[#This Row],[EngagementScore]]&lt;=70,"Medium","High"))</f>
        <v>Low</v>
      </c>
      <c r="O435" t="str">
        <f>IF(Table1[[#This Row],[Age]]&lt;25,"18-24",
IF(Table1[[#This Row],[Age]]&lt;35,"25-34",
IF(Table1[[#This Row],[Age]]&lt;45,"35-44","45+")))</f>
        <v>45+</v>
      </c>
    </row>
    <row r="436" spans="1:15" x14ac:dyDescent="0.25">
      <c r="A436" t="s">
        <v>445</v>
      </c>
      <c r="B436" s="4">
        <v>45414</v>
      </c>
      <c r="C436" s="1">
        <v>45599</v>
      </c>
      <c r="D436">
        <v>35</v>
      </c>
      <c r="E436" t="s">
        <v>912</v>
      </c>
      <c r="F436" t="s">
        <v>916</v>
      </c>
      <c r="G436" t="s">
        <v>922</v>
      </c>
      <c r="H436">
        <v>5923.24</v>
      </c>
      <c r="I436">
        <v>11</v>
      </c>
      <c r="J436">
        <v>62</v>
      </c>
      <c r="K436" t="s">
        <v>923</v>
      </c>
      <c r="L436" t="str">
        <f>IF(ISBLANK(Table1[[#This Row],[CancelDate]]),"Active","Churned")</f>
        <v>Churned</v>
      </c>
      <c r="M436">
        <f ca="1">IF(ISBLANK(Table1[[#This Row],[CancelDate]]),DATEDIF(Table1[[#This Row],[JoinDate]],TODAY(),"M"),DATEDIF(Table1[[#This Row],[JoinDate]],Table1[[#This Row],[CancelDate]],"M"))</f>
        <v>6</v>
      </c>
      <c r="N436" t="str">
        <f>IF(Table1[[#This Row],[EngagementScore]]&lt;=40,"Low",IF(Table1[[#This Row],[EngagementScore]]&lt;=70,"Medium","High"))</f>
        <v>Medium</v>
      </c>
      <c r="O436" t="str">
        <f>IF(Table1[[#This Row],[Age]]&lt;25,"18-24",
IF(Table1[[#This Row],[Age]]&lt;35,"25-34",
IF(Table1[[#This Row],[Age]]&lt;45,"35-44","45+")))</f>
        <v>35-44</v>
      </c>
    </row>
    <row r="437" spans="1:15" x14ac:dyDescent="0.25">
      <c r="A437" t="s">
        <v>446</v>
      </c>
      <c r="B437" s="4">
        <v>44756</v>
      </c>
      <c r="D437">
        <v>39</v>
      </c>
      <c r="E437" t="s">
        <v>912</v>
      </c>
      <c r="F437" t="s">
        <v>919</v>
      </c>
      <c r="G437" t="s">
        <v>922</v>
      </c>
      <c r="H437">
        <v>7546.23</v>
      </c>
      <c r="I437">
        <v>2</v>
      </c>
      <c r="J437">
        <v>11</v>
      </c>
      <c r="K437" t="s">
        <v>923</v>
      </c>
      <c r="L437" t="str">
        <f>IF(ISBLANK(Table1[[#This Row],[CancelDate]]),"Active","Churned")</f>
        <v>Active</v>
      </c>
      <c r="M437">
        <f ca="1">IF(ISBLANK(Table1[[#This Row],[CancelDate]]),DATEDIF(Table1[[#This Row],[JoinDate]],TODAY(),"M"),DATEDIF(Table1[[#This Row],[JoinDate]],Table1[[#This Row],[CancelDate]],"M"))</f>
        <v>44</v>
      </c>
      <c r="N437" t="str">
        <f>IF(Table1[[#This Row],[EngagementScore]]&lt;=40,"Low",IF(Table1[[#This Row],[EngagementScore]]&lt;=70,"Medium","High"))</f>
        <v>Low</v>
      </c>
      <c r="O437" t="str">
        <f>IF(Table1[[#This Row],[Age]]&lt;25,"18-24",
IF(Table1[[#This Row],[Age]]&lt;35,"25-34",
IF(Table1[[#This Row],[Age]]&lt;45,"35-44","45+")))</f>
        <v>35-44</v>
      </c>
    </row>
    <row r="438" spans="1:15" x14ac:dyDescent="0.25">
      <c r="A438" t="s">
        <v>447</v>
      </c>
      <c r="B438" s="4">
        <v>44673</v>
      </c>
      <c r="D438">
        <v>51</v>
      </c>
      <c r="E438" t="s">
        <v>912</v>
      </c>
      <c r="F438" t="s">
        <v>917</v>
      </c>
      <c r="G438" t="s">
        <v>921</v>
      </c>
      <c r="H438">
        <v>5911.78</v>
      </c>
      <c r="I438">
        <v>2</v>
      </c>
      <c r="J438">
        <v>38</v>
      </c>
      <c r="K438" t="s">
        <v>924</v>
      </c>
      <c r="L438" t="str">
        <f>IF(ISBLANK(Table1[[#This Row],[CancelDate]]),"Active","Churned")</f>
        <v>Active</v>
      </c>
      <c r="M438">
        <f ca="1">IF(ISBLANK(Table1[[#This Row],[CancelDate]]),DATEDIF(Table1[[#This Row],[JoinDate]],TODAY(),"M"),DATEDIF(Table1[[#This Row],[JoinDate]],Table1[[#This Row],[CancelDate]],"M"))</f>
        <v>47</v>
      </c>
      <c r="N438" t="str">
        <f>IF(Table1[[#This Row],[EngagementScore]]&lt;=40,"Low",IF(Table1[[#This Row],[EngagementScore]]&lt;=70,"Medium","High"))</f>
        <v>Low</v>
      </c>
      <c r="O438" t="str">
        <f>IF(Table1[[#This Row],[Age]]&lt;25,"18-24",
IF(Table1[[#This Row],[Age]]&lt;35,"25-34",
IF(Table1[[#This Row],[Age]]&lt;45,"35-44","45+")))</f>
        <v>45+</v>
      </c>
    </row>
    <row r="439" spans="1:15" x14ac:dyDescent="0.25">
      <c r="A439" t="s">
        <v>448</v>
      </c>
      <c r="B439" s="4">
        <v>44698</v>
      </c>
      <c r="C439" s="1">
        <v>44814</v>
      </c>
      <c r="D439">
        <v>25</v>
      </c>
      <c r="E439" t="s">
        <v>912</v>
      </c>
      <c r="F439" t="s">
        <v>919</v>
      </c>
      <c r="G439" t="s">
        <v>921</v>
      </c>
      <c r="H439">
        <v>3207.01</v>
      </c>
      <c r="I439">
        <v>2</v>
      </c>
      <c r="J439">
        <v>19</v>
      </c>
      <c r="K439" t="s">
        <v>925</v>
      </c>
      <c r="L439" t="str">
        <f>IF(ISBLANK(Table1[[#This Row],[CancelDate]]),"Active","Churned")</f>
        <v>Churned</v>
      </c>
      <c r="M439">
        <f ca="1">IF(ISBLANK(Table1[[#This Row],[CancelDate]]),DATEDIF(Table1[[#This Row],[JoinDate]],TODAY(),"M"),DATEDIF(Table1[[#This Row],[JoinDate]],Table1[[#This Row],[CancelDate]],"M"))</f>
        <v>3</v>
      </c>
      <c r="N439" t="str">
        <f>IF(Table1[[#This Row],[EngagementScore]]&lt;=40,"Low",IF(Table1[[#This Row],[EngagementScore]]&lt;=70,"Medium","High"))</f>
        <v>Low</v>
      </c>
      <c r="O439" t="str">
        <f>IF(Table1[[#This Row],[Age]]&lt;25,"18-24",
IF(Table1[[#This Row],[Age]]&lt;35,"25-34",
IF(Table1[[#This Row],[Age]]&lt;45,"35-44","45+")))</f>
        <v>25-34</v>
      </c>
    </row>
    <row r="440" spans="1:15" x14ac:dyDescent="0.25">
      <c r="A440" t="s">
        <v>449</v>
      </c>
      <c r="B440" s="4">
        <v>45324</v>
      </c>
      <c r="D440">
        <v>22</v>
      </c>
      <c r="E440" t="s">
        <v>912</v>
      </c>
      <c r="F440" t="s">
        <v>919</v>
      </c>
      <c r="G440" t="s">
        <v>921</v>
      </c>
      <c r="H440">
        <v>13237.03</v>
      </c>
      <c r="I440">
        <v>26</v>
      </c>
      <c r="J440">
        <v>98</v>
      </c>
      <c r="K440" t="s">
        <v>925</v>
      </c>
      <c r="L440" t="str">
        <f>IF(ISBLANK(Table1[[#This Row],[CancelDate]]),"Active","Churned")</f>
        <v>Active</v>
      </c>
      <c r="M440">
        <f ca="1">IF(ISBLANK(Table1[[#This Row],[CancelDate]]),DATEDIF(Table1[[#This Row],[JoinDate]],TODAY(),"M"),DATEDIF(Table1[[#This Row],[JoinDate]],Table1[[#This Row],[CancelDate]],"M"))</f>
        <v>26</v>
      </c>
      <c r="N440" t="str">
        <f>IF(Table1[[#This Row],[EngagementScore]]&lt;=40,"Low",IF(Table1[[#This Row],[EngagementScore]]&lt;=70,"Medium","High"))</f>
        <v>High</v>
      </c>
      <c r="O440" t="str">
        <f>IF(Table1[[#This Row],[Age]]&lt;25,"18-24",
IF(Table1[[#This Row],[Age]]&lt;35,"25-34",
IF(Table1[[#This Row],[Age]]&lt;45,"35-44","45+")))</f>
        <v>18-24</v>
      </c>
    </row>
    <row r="441" spans="1:15" x14ac:dyDescent="0.25">
      <c r="A441" t="s">
        <v>450</v>
      </c>
      <c r="B441" s="4">
        <v>45136</v>
      </c>
      <c r="C441" s="1">
        <v>45258</v>
      </c>
      <c r="D441">
        <v>23</v>
      </c>
      <c r="E441" t="s">
        <v>912</v>
      </c>
      <c r="F441" t="s">
        <v>919</v>
      </c>
      <c r="G441" t="s">
        <v>920</v>
      </c>
      <c r="H441">
        <v>5369.54</v>
      </c>
      <c r="I441">
        <v>4</v>
      </c>
      <c r="J441">
        <v>27</v>
      </c>
      <c r="K441" t="s">
        <v>925</v>
      </c>
      <c r="L441" t="str">
        <f>IF(ISBLANK(Table1[[#This Row],[CancelDate]]),"Active","Churned")</f>
        <v>Churned</v>
      </c>
      <c r="M441">
        <f ca="1">IF(ISBLANK(Table1[[#This Row],[CancelDate]]),DATEDIF(Table1[[#This Row],[JoinDate]],TODAY(),"M"),DATEDIF(Table1[[#This Row],[JoinDate]],Table1[[#This Row],[CancelDate]],"M"))</f>
        <v>3</v>
      </c>
      <c r="N441" t="str">
        <f>IF(Table1[[#This Row],[EngagementScore]]&lt;=40,"Low",IF(Table1[[#This Row],[EngagementScore]]&lt;=70,"Medium","High"))</f>
        <v>Low</v>
      </c>
      <c r="O441" t="str">
        <f>IF(Table1[[#This Row],[Age]]&lt;25,"18-24",
IF(Table1[[#This Row],[Age]]&lt;35,"25-34",
IF(Table1[[#This Row],[Age]]&lt;45,"35-44","45+")))</f>
        <v>18-24</v>
      </c>
    </row>
    <row r="442" spans="1:15" x14ac:dyDescent="0.25">
      <c r="A442" t="s">
        <v>451</v>
      </c>
      <c r="B442" s="4">
        <v>44646</v>
      </c>
      <c r="D442">
        <v>55</v>
      </c>
      <c r="E442" t="s">
        <v>912</v>
      </c>
      <c r="F442" t="s">
        <v>915</v>
      </c>
      <c r="G442" t="s">
        <v>921</v>
      </c>
      <c r="H442">
        <v>5270.63</v>
      </c>
      <c r="I442">
        <v>6</v>
      </c>
      <c r="J442">
        <v>56</v>
      </c>
      <c r="K442" t="s">
        <v>925</v>
      </c>
      <c r="L442" t="str">
        <f>IF(ISBLANK(Table1[[#This Row],[CancelDate]]),"Active","Churned")</f>
        <v>Active</v>
      </c>
      <c r="M442">
        <f ca="1">IF(ISBLANK(Table1[[#This Row],[CancelDate]]),DATEDIF(Table1[[#This Row],[JoinDate]],TODAY(),"M"),DATEDIF(Table1[[#This Row],[JoinDate]],Table1[[#This Row],[CancelDate]],"M"))</f>
        <v>48</v>
      </c>
      <c r="N442" t="str">
        <f>IF(Table1[[#This Row],[EngagementScore]]&lt;=40,"Low",IF(Table1[[#This Row],[EngagementScore]]&lt;=70,"Medium","High"))</f>
        <v>Medium</v>
      </c>
      <c r="O442" t="str">
        <f>IF(Table1[[#This Row],[Age]]&lt;25,"18-24",
IF(Table1[[#This Row],[Age]]&lt;35,"25-34",
IF(Table1[[#This Row],[Age]]&lt;45,"35-44","45+")))</f>
        <v>45+</v>
      </c>
    </row>
    <row r="443" spans="1:15" x14ac:dyDescent="0.25">
      <c r="A443" t="s">
        <v>452</v>
      </c>
      <c r="B443" s="4">
        <v>44875</v>
      </c>
      <c r="D443">
        <v>48</v>
      </c>
      <c r="E443" t="s">
        <v>912</v>
      </c>
      <c r="F443" t="s">
        <v>914</v>
      </c>
      <c r="G443" t="s">
        <v>922</v>
      </c>
      <c r="H443">
        <v>15273.21</v>
      </c>
      <c r="I443">
        <v>26</v>
      </c>
      <c r="J443">
        <v>97</v>
      </c>
      <c r="K443" t="s">
        <v>925</v>
      </c>
      <c r="L443" t="str">
        <f>IF(ISBLANK(Table1[[#This Row],[CancelDate]]),"Active","Churned")</f>
        <v>Active</v>
      </c>
      <c r="M443">
        <f ca="1">IF(ISBLANK(Table1[[#This Row],[CancelDate]]),DATEDIF(Table1[[#This Row],[JoinDate]],TODAY(),"M"),DATEDIF(Table1[[#This Row],[JoinDate]],Table1[[#This Row],[CancelDate]],"M"))</f>
        <v>40</v>
      </c>
      <c r="N443" t="str">
        <f>IF(Table1[[#This Row],[EngagementScore]]&lt;=40,"Low",IF(Table1[[#This Row],[EngagementScore]]&lt;=70,"Medium","High"))</f>
        <v>High</v>
      </c>
      <c r="O443" t="str">
        <f>IF(Table1[[#This Row],[Age]]&lt;25,"18-24",
IF(Table1[[#This Row],[Age]]&lt;35,"25-34",
IF(Table1[[#This Row],[Age]]&lt;45,"35-44","45+")))</f>
        <v>45+</v>
      </c>
    </row>
    <row r="444" spans="1:15" x14ac:dyDescent="0.25">
      <c r="A444" t="s">
        <v>453</v>
      </c>
      <c r="B444" s="4">
        <v>44945</v>
      </c>
      <c r="D444">
        <v>47</v>
      </c>
      <c r="E444" t="s">
        <v>912</v>
      </c>
      <c r="F444" t="s">
        <v>915</v>
      </c>
      <c r="G444" t="s">
        <v>922</v>
      </c>
      <c r="H444">
        <v>17906.169999999998</v>
      </c>
      <c r="I444">
        <v>25</v>
      </c>
      <c r="J444">
        <v>89</v>
      </c>
      <c r="K444" t="s">
        <v>913</v>
      </c>
      <c r="L444" t="str">
        <f>IF(ISBLANK(Table1[[#This Row],[CancelDate]]),"Active","Churned")</f>
        <v>Active</v>
      </c>
      <c r="M444">
        <f ca="1">IF(ISBLANK(Table1[[#This Row],[CancelDate]]),DATEDIF(Table1[[#This Row],[JoinDate]],TODAY(),"M"),DATEDIF(Table1[[#This Row],[JoinDate]],Table1[[#This Row],[CancelDate]],"M"))</f>
        <v>38</v>
      </c>
      <c r="N444" t="str">
        <f>IF(Table1[[#This Row],[EngagementScore]]&lt;=40,"Low",IF(Table1[[#This Row],[EngagementScore]]&lt;=70,"Medium","High"))</f>
        <v>High</v>
      </c>
      <c r="O444" t="str">
        <f>IF(Table1[[#This Row],[Age]]&lt;25,"18-24",
IF(Table1[[#This Row],[Age]]&lt;35,"25-34",
IF(Table1[[#This Row],[Age]]&lt;45,"35-44","45+")))</f>
        <v>45+</v>
      </c>
    </row>
    <row r="445" spans="1:15" x14ac:dyDescent="0.25">
      <c r="A445" t="s">
        <v>454</v>
      </c>
      <c r="B445" s="4">
        <v>45020</v>
      </c>
      <c r="D445">
        <v>51</v>
      </c>
      <c r="E445" t="s">
        <v>912</v>
      </c>
      <c r="F445" t="s">
        <v>917</v>
      </c>
      <c r="G445" t="s">
        <v>922</v>
      </c>
      <c r="H445">
        <v>3625.9</v>
      </c>
      <c r="I445">
        <v>4</v>
      </c>
      <c r="J445">
        <v>19</v>
      </c>
      <c r="K445" t="s">
        <v>923</v>
      </c>
      <c r="L445" t="str">
        <f>IF(ISBLANK(Table1[[#This Row],[CancelDate]]),"Active","Churned")</f>
        <v>Active</v>
      </c>
      <c r="M445">
        <f ca="1">IF(ISBLANK(Table1[[#This Row],[CancelDate]]),DATEDIF(Table1[[#This Row],[JoinDate]],TODAY(),"M"),DATEDIF(Table1[[#This Row],[JoinDate]],Table1[[#This Row],[CancelDate]],"M"))</f>
        <v>35</v>
      </c>
      <c r="N445" t="str">
        <f>IF(Table1[[#This Row],[EngagementScore]]&lt;=40,"Low",IF(Table1[[#This Row],[EngagementScore]]&lt;=70,"Medium","High"))</f>
        <v>Low</v>
      </c>
      <c r="O445" t="str">
        <f>IF(Table1[[#This Row],[Age]]&lt;25,"18-24",
IF(Table1[[#This Row],[Age]]&lt;35,"25-34",
IF(Table1[[#This Row],[Age]]&lt;45,"35-44","45+")))</f>
        <v>45+</v>
      </c>
    </row>
    <row r="446" spans="1:15" x14ac:dyDescent="0.25">
      <c r="A446" t="s">
        <v>455</v>
      </c>
      <c r="B446" s="4">
        <v>44722</v>
      </c>
      <c r="C446" s="1">
        <v>44967</v>
      </c>
      <c r="D446">
        <v>23</v>
      </c>
      <c r="E446" t="s">
        <v>911</v>
      </c>
      <c r="F446" t="s">
        <v>918</v>
      </c>
      <c r="G446" t="s">
        <v>921</v>
      </c>
      <c r="H446">
        <v>12836.11</v>
      </c>
      <c r="I446">
        <v>12</v>
      </c>
      <c r="J446">
        <v>62</v>
      </c>
      <c r="K446" t="s">
        <v>925</v>
      </c>
      <c r="L446" t="str">
        <f>IF(ISBLANK(Table1[[#This Row],[CancelDate]]),"Active","Churned")</f>
        <v>Churned</v>
      </c>
      <c r="M446">
        <f ca="1">IF(ISBLANK(Table1[[#This Row],[CancelDate]]),DATEDIF(Table1[[#This Row],[JoinDate]],TODAY(),"M"),DATEDIF(Table1[[#This Row],[JoinDate]],Table1[[#This Row],[CancelDate]],"M"))</f>
        <v>8</v>
      </c>
      <c r="N446" t="str">
        <f>IF(Table1[[#This Row],[EngagementScore]]&lt;=40,"Low",IF(Table1[[#This Row],[EngagementScore]]&lt;=70,"Medium","High"))</f>
        <v>Medium</v>
      </c>
      <c r="O446" t="str">
        <f>IF(Table1[[#This Row],[Age]]&lt;25,"18-24",
IF(Table1[[#This Row],[Age]]&lt;35,"25-34",
IF(Table1[[#This Row],[Age]]&lt;45,"35-44","45+")))</f>
        <v>18-24</v>
      </c>
    </row>
    <row r="447" spans="1:15" x14ac:dyDescent="0.25">
      <c r="A447" t="s">
        <v>456</v>
      </c>
      <c r="B447" s="4">
        <v>44816</v>
      </c>
      <c r="D447">
        <v>42</v>
      </c>
      <c r="E447" t="s">
        <v>912</v>
      </c>
      <c r="F447" t="s">
        <v>916</v>
      </c>
      <c r="G447" t="s">
        <v>921</v>
      </c>
      <c r="H447">
        <v>19558.759999999998</v>
      </c>
      <c r="I447">
        <v>19</v>
      </c>
      <c r="J447">
        <v>78</v>
      </c>
      <c r="K447" t="s">
        <v>913</v>
      </c>
      <c r="L447" t="str">
        <f>IF(ISBLANK(Table1[[#This Row],[CancelDate]]),"Active","Churned")</f>
        <v>Active</v>
      </c>
      <c r="M447">
        <f ca="1">IF(ISBLANK(Table1[[#This Row],[CancelDate]]),DATEDIF(Table1[[#This Row],[JoinDate]],TODAY(),"M"),DATEDIF(Table1[[#This Row],[JoinDate]],Table1[[#This Row],[CancelDate]],"M"))</f>
        <v>42</v>
      </c>
      <c r="N447" t="str">
        <f>IF(Table1[[#This Row],[EngagementScore]]&lt;=40,"Low",IF(Table1[[#This Row],[EngagementScore]]&lt;=70,"Medium","High"))</f>
        <v>High</v>
      </c>
      <c r="O447" t="str">
        <f>IF(Table1[[#This Row],[Age]]&lt;25,"18-24",
IF(Table1[[#This Row],[Age]]&lt;35,"25-34",
IF(Table1[[#This Row],[Age]]&lt;45,"35-44","45+")))</f>
        <v>35-44</v>
      </c>
    </row>
    <row r="448" spans="1:15" x14ac:dyDescent="0.25">
      <c r="A448" t="s">
        <v>457</v>
      </c>
      <c r="B448" s="4">
        <v>45452</v>
      </c>
      <c r="D448">
        <v>18</v>
      </c>
      <c r="E448" t="s">
        <v>911</v>
      </c>
      <c r="F448" t="s">
        <v>916</v>
      </c>
      <c r="G448" t="s">
        <v>921</v>
      </c>
      <c r="H448">
        <v>12464.02</v>
      </c>
      <c r="I448">
        <v>13</v>
      </c>
      <c r="J448">
        <v>88</v>
      </c>
      <c r="K448" t="s">
        <v>923</v>
      </c>
      <c r="L448" t="str">
        <f>IF(ISBLANK(Table1[[#This Row],[CancelDate]]),"Active","Churned")</f>
        <v>Active</v>
      </c>
      <c r="M448">
        <f ca="1">IF(ISBLANK(Table1[[#This Row],[CancelDate]]),DATEDIF(Table1[[#This Row],[JoinDate]],TODAY(),"M"),DATEDIF(Table1[[#This Row],[JoinDate]],Table1[[#This Row],[CancelDate]],"M"))</f>
        <v>21</v>
      </c>
      <c r="N448" t="str">
        <f>IF(Table1[[#This Row],[EngagementScore]]&lt;=40,"Low",IF(Table1[[#This Row],[EngagementScore]]&lt;=70,"Medium","High"))</f>
        <v>High</v>
      </c>
      <c r="O448" t="str">
        <f>IF(Table1[[#This Row],[Age]]&lt;25,"18-24",
IF(Table1[[#This Row],[Age]]&lt;35,"25-34",
IF(Table1[[#This Row],[Age]]&lt;45,"35-44","45+")))</f>
        <v>18-24</v>
      </c>
    </row>
    <row r="449" spans="1:15" x14ac:dyDescent="0.25">
      <c r="A449" t="s">
        <v>458</v>
      </c>
      <c r="B449" s="4">
        <v>45311</v>
      </c>
      <c r="D449">
        <v>57</v>
      </c>
      <c r="E449" t="s">
        <v>912</v>
      </c>
      <c r="F449" t="s">
        <v>919</v>
      </c>
      <c r="G449" t="s">
        <v>921</v>
      </c>
      <c r="H449">
        <v>14248.45</v>
      </c>
      <c r="I449">
        <v>12</v>
      </c>
      <c r="J449">
        <v>54</v>
      </c>
      <c r="K449" t="s">
        <v>925</v>
      </c>
      <c r="L449" t="str">
        <f>IF(ISBLANK(Table1[[#This Row],[CancelDate]]),"Active","Churned")</f>
        <v>Active</v>
      </c>
      <c r="M449">
        <f ca="1">IF(ISBLANK(Table1[[#This Row],[CancelDate]]),DATEDIF(Table1[[#This Row],[JoinDate]],TODAY(),"M"),DATEDIF(Table1[[#This Row],[JoinDate]],Table1[[#This Row],[CancelDate]],"M"))</f>
        <v>26</v>
      </c>
      <c r="N449" t="str">
        <f>IF(Table1[[#This Row],[EngagementScore]]&lt;=40,"Low",IF(Table1[[#This Row],[EngagementScore]]&lt;=70,"Medium","High"))</f>
        <v>Medium</v>
      </c>
      <c r="O449" t="str">
        <f>IF(Table1[[#This Row],[Age]]&lt;25,"18-24",
IF(Table1[[#This Row],[Age]]&lt;35,"25-34",
IF(Table1[[#This Row],[Age]]&lt;45,"35-44","45+")))</f>
        <v>45+</v>
      </c>
    </row>
    <row r="450" spans="1:15" x14ac:dyDescent="0.25">
      <c r="A450" t="s">
        <v>459</v>
      </c>
      <c r="B450" s="4">
        <v>45396</v>
      </c>
      <c r="D450">
        <v>34</v>
      </c>
      <c r="E450" t="s">
        <v>911</v>
      </c>
      <c r="F450" t="s">
        <v>919</v>
      </c>
      <c r="G450" t="s">
        <v>922</v>
      </c>
      <c r="H450">
        <v>7466.93</v>
      </c>
      <c r="I450">
        <v>7</v>
      </c>
      <c r="J450">
        <v>11</v>
      </c>
      <c r="K450" t="s">
        <v>925</v>
      </c>
      <c r="L450" t="str">
        <f>IF(ISBLANK(Table1[[#This Row],[CancelDate]]),"Active","Churned")</f>
        <v>Active</v>
      </c>
      <c r="M450">
        <f ca="1">IF(ISBLANK(Table1[[#This Row],[CancelDate]]),DATEDIF(Table1[[#This Row],[JoinDate]],TODAY(),"M"),DATEDIF(Table1[[#This Row],[JoinDate]],Table1[[#This Row],[CancelDate]],"M"))</f>
        <v>23</v>
      </c>
      <c r="N450" t="str">
        <f>IF(Table1[[#This Row],[EngagementScore]]&lt;=40,"Low",IF(Table1[[#This Row],[EngagementScore]]&lt;=70,"Medium","High"))</f>
        <v>Low</v>
      </c>
      <c r="O450" t="str">
        <f>IF(Table1[[#This Row],[Age]]&lt;25,"18-24",
IF(Table1[[#This Row],[Age]]&lt;35,"25-34",
IF(Table1[[#This Row],[Age]]&lt;45,"35-44","45+")))</f>
        <v>25-34</v>
      </c>
    </row>
    <row r="451" spans="1:15" x14ac:dyDescent="0.25">
      <c r="A451" t="s">
        <v>460</v>
      </c>
      <c r="B451" s="4">
        <v>45454</v>
      </c>
      <c r="D451">
        <v>34</v>
      </c>
      <c r="E451" t="s">
        <v>911</v>
      </c>
      <c r="F451" t="s">
        <v>919</v>
      </c>
      <c r="G451" t="s">
        <v>921</v>
      </c>
      <c r="H451">
        <v>10083.67</v>
      </c>
      <c r="I451">
        <v>10</v>
      </c>
      <c r="J451">
        <v>62</v>
      </c>
      <c r="K451" t="s">
        <v>923</v>
      </c>
      <c r="L451" t="str">
        <f>IF(ISBLANK(Table1[[#This Row],[CancelDate]]),"Active","Churned")</f>
        <v>Active</v>
      </c>
      <c r="M451">
        <f ca="1">IF(ISBLANK(Table1[[#This Row],[CancelDate]]),DATEDIF(Table1[[#This Row],[JoinDate]],TODAY(),"M"),DATEDIF(Table1[[#This Row],[JoinDate]],Table1[[#This Row],[CancelDate]],"M"))</f>
        <v>21</v>
      </c>
      <c r="N451" t="str">
        <f>IF(Table1[[#This Row],[EngagementScore]]&lt;=40,"Low",IF(Table1[[#This Row],[EngagementScore]]&lt;=70,"Medium","High"))</f>
        <v>Medium</v>
      </c>
      <c r="O451" t="str">
        <f>IF(Table1[[#This Row],[Age]]&lt;25,"18-24",
IF(Table1[[#This Row],[Age]]&lt;35,"25-34",
IF(Table1[[#This Row],[Age]]&lt;45,"35-44","45+")))</f>
        <v>25-34</v>
      </c>
    </row>
    <row r="452" spans="1:15" x14ac:dyDescent="0.25">
      <c r="A452" t="s">
        <v>461</v>
      </c>
      <c r="B452" s="4">
        <v>45269</v>
      </c>
      <c r="D452">
        <v>30</v>
      </c>
      <c r="E452" t="s">
        <v>911</v>
      </c>
      <c r="F452" t="s">
        <v>918</v>
      </c>
      <c r="G452" t="s">
        <v>921</v>
      </c>
      <c r="H452">
        <v>14919.71</v>
      </c>
      <c r="I452">
        <v>19</v>
      </c>
      <c r="J452">
        <v>90</v>
      </c>
      <c r="K452" t="s">
        <v>925</v>
      </c>
      <c r="L452" t="str">
        <f>IF(ISBLANK(Table1[[#This Row],[CancelDate]]),"Active","Churned")</f>
        <v>Active</v>
      </c>
      <c r="M452">
        <f ca="1">IF(ISBLANK(Table1[[#This Row],[CancelDate]]),DATEDIF(Table1[[#This Row],[JoinDate]],TODAY(),"M"),DATEDIF(Table1[[#This Row],[JoinDate]],Table1[[#This Row],[CancelDate]],"M"))</f>
        <v>27</v>
      </c>
      <c r="N452" t="str">
        <f>IF(Table1[[#This Row],[EngagementScore]]&lt;=40,"Low",IF(Table1[[#This Row],[EngagementScore]]&lt;=70,"Medium","High"))</f>
        <v>High</v>
      </c>
      <c r="O452" t="str">
        <f>IF(Table1[[#This Row],[Age]]&lt;25,"18-24",
IF(Table1[[#This Row],[Age]]&lt;35,"25-34",
IF(Table1[[#This Row],[Age]]&lt;45,"35-44","45+")))</f>
        <v>25-34</v>
      </c>
    </row>
    <row r="453" spans="1:15" x14ac:dyDescent="0.25">
      <c r="A453" t="s">
        <v>462</v>
      </c>
      <c r="B453" s="4">
        <v>44590</v>
      </c>
      <c r="C453" s="1">
        <v>44767</v>
      </c>
      <c r="D453">
        <v>40</v>
      </c>
      <c r="E453" t="s">
        <v>911</v>
      </c>
      <c r="F453" t="s">
        <v>915</v>
      </c>
      <c r="G453" t="s">
        <v>921</v>
      </c>
      <c r="H453">
        <v>7646.72</v>
      </c>
      <c r="I453">
        <v>6</v>
      </c>
      <c r="J453">
        <v>10</v>
      </c>
      <c r="K453" t="s">
        <v>925</v>
      </c>
      <c r="L453" t="str">
        <f>IF(ISBLANK(Table1[[#This Row],[CancelDate]]),"Active","Churned")</f>
        <v>Churned</v>
      </c>
      <c r="M453">
        <f ca="1">IF(ISBLANK(Table1[[#This Row],[CancelDate]]),DATEDIF(Table1[[#This Row],[JoinDate]],TODAY(),"M"),DATEDIF(Table1[[#This Row],[JoinDate]],Table1[[#This Row],[CancelDate]],"M"))</f>
        <v>5</v>
      </c>
      <c r="N453" t="str">
        <f>IF(Table1[[#This Row],[EngagementScore]]&lt;=40,"Low",IF(Table1[[#This Row],[EngagementScore]]&lt;=70,"Medium","High"))</f>
        <v>Low</v>
      </c>
      <c r="O453" t="str">
        <f>IF(Table1[[#This Row],[Age]]&lt;25,"18-24",
IF(Table1[[#This Row],[Age]]&lt;35,"25-34",
IF(Table1[[#This Row],[Age]]&lt;45,"35-44","45+")))</f>
        <v>35-44</v>
      </c>
    </row>
    <row r="454" spans="1:15" x14ac:dyDescent="0.25">
      <c r="A454" t="s">
        <v>463</v>
      </c>
      <c r="B454" s="4">
        <v>45255</v>
      </c>
      <c r="D454">
        <v>21</v>
      </c>
      <c r="E454" t="s">
        <v>911</v>
      </c>
      <c r="F454" t="s">
        <v>914</v>
      </c>
      <c r="G454" t="s">
        <v>921</v>
      </c>
      <c r="H454">
        <v>3484.37</v>
      </c>
      <c r="I454">
        <v>5</v>
      </c>
      <c r="J454">
        <v>17</v>
      </c>
      <c r="K454" t="s">
        <v>925</v>
      </c>
      <c r="L454" t="str">
        <f>IF(ISBLANK(Table1[[#This Row],[CancelDate]]),"Active","Churned")</f>
        <v>Active</v>
      </c>
      <c r="M454">
        <f ca="1">IF(ISBLANK(Table1[[#This Row],[CancelDate]]),DATEDIF(Table1[[#This Row],[JoinDate]],TODAY(),"M"),DATEDIF(Table1[[#This Row],[JoinDate]],Table1[[#This Row],[CancelDate]],"M"))</f>
        <v>28</v>
      </c>
      <c r="N454" t="str">
        <f>IF(Table1[[#This Row],[EngagementScore]]&lt;=40,"Low",IF(Table1[[#This Row],[EngagementScore]]&lt;=70,"Medium","High"))</f>
        <v>Low</v>
      </c>
      <c r="O454" t="str">
        <f>IF(Table1[[#This Row],[Age]]&lt;25,"18-24",
IF(Table1[[#This Row],[Age]]&lt;35,"25-34",
IF(Table1[[#This Row],[Age]]&lt;45,"35-44","45+")))</f>
        <v>18-24</v>
      </c>
    </row>
    <row r="455" spans="1:15" x14ac:dyDescent="0.25">
      <c r="A455" t="s">
        <v>464</v>
      </c>
      <c r="B455" s="4">
        <v>44641</v>
      </c>
      <c r="C455" s="1">
        <v>44826</v>
      </c>
      <c r="D455">
        <v>38</v>
      </c>
      <c r="E455" t="s">
        <v>911</v>
      </c>
      <c r="F455" t="s">
        <v>917</v>
      </c>
      <c r="G455" t="s">
        <v>921</v>
      </c>
      <c r="H455">
        <v>7548.04</v>
      </c>
      <c r="I455">
        <v>13</v>
      </c>
      <c r="J455">
        <v>44</v>
      </c>
      <c r="K455" t="s">
        <v>923</v>
      </c>
      <c r="L455" t="str">
        <f>IF(ISBLANK(Table1[[#This Row],[CancelDate]]),"Active","Churned")</f>
        <v>Churned</v>
      </c>
      <c r="M455">
        <f ca="1">IF(ISBLANK(Table1[[#This Row],[CancelDate]]),DATEDIF(Table1[[#This Row],[JoinDate]],TODAY(),"M"),DATEDIF(Table1[[#This Row],[JoinDate]],Table1[[#This Row],[CancelDate]],"M"))</f>
        <v>6</v>
      </c>
      <c r="N455" t="str">
        <f>IF(Table1[[#This Row],[EngagementScore]]&lt;=40,"Low",IF(Table1[[#This Row],[EngagementScore]]&lt;=70,"Medium","High"))</f>
        <v>Medium</v>
      </c>
      <c r="O455" t="str">
        <f>IF(Table1[[#This Row],[Age]]&lt;25,"18-24",
IF(Table1[[#This Row],[Age]]&lt;35,"25-34",
IF(Table1[[#This Row],[Age]]&lt;45,"35-44","45+")))</f>
        <v>35-44</v>
      </c>
    </row>
    <row r="456" spans="1:15" x14ac:dyDescent="0.25">
      <c r="A456" t="s">
        <v>465</v>
      </c>
      <c r="B456" s="4">
        <v>44991</v>
      </c>
      <c r="D456">
        <v>22</v>
      </c>
      <c r="E456" t="s">
        <v>912</v>
      </c>
      <c r="F456" t="s">
        <v>918</v>
      </c>
      <c r="G456" t="s">
        <v>920</v>
      </c>
      <c r="H456">
        <v>2750.31</v>
      </c>
      <c r="I456">
        <v>5</v>
      </c>
      <c r="J456">
        <v>35</v>
      </c>
      <c r="K456" t="s">
        <v>924</v>
      </c>
      <c r="L456" t="str">
        <f>IF(ISBLANK(Table1[[#This Row],[CancelDate]]),"Active","Churned")</f>
        <v>Active</v>
      </c>
      <c r="M456">
        <f ca="1">IF(ISBLANK(Table1[[#This Row],[CancelDate]]),DATEDIF(Table1[[#This Row],[JoinDate]],TODAY(),"M"),DATEDIF(Table1[[#This Row],[JoinDate]],Table1[[#This Row],[CancelDate]],"M"))</f>
        <v>36</v>
      </c>
      <c r="N456" t="str">
        <f>IF(Table1[[#This Row],[EngagementScore]]&lt;=40,"Low",IF(Table1[[#This Row],[EngagementScore]]&lt;=70,"Medium","High"))</f>
        <v>Low</v>
      </c>
      <c r="O456" t="str">
        <f>IF(Table1[[#This Row],[Age]]&lt;25,"18-24",
IF(Table1[[#This Row],[Age]]&lt;35,"25-34",
IF(Table1[[#This Row],[Age]]&lt;45,"35-44","45+")))</f>
        <v>18-24</v>
      </c>
    </row>
    <row r="457" spans="1:15" x14ac:dyDescent="0.25">
      <c r="A457" t="s">
        <v>466</v>
      </c>
      <c r="B457" s="4">
        <v>45176</v>
      </c>
      <c r="D457">
        <v>24</v>
      </c>
      <c r="E457" t="s">
        <v>911</v>
      </c>
      <c r="F457" t="s">
        <v>918</v>
      </c>
      <c r="G457" t="s">
        <v>921</v>
      </c>
      <c r="H457">
        <v>3667.56</v>
      </c>
      <c r="I457">
        <v>1</v>
      </c>
      <c r="J457">
        <v>29</v>
      </c>
      <c r="K457" t="s">
        <v>925</v>
      </c>
      <c r="L457" t="str">
        <f>IF(ISBLANK(Table1[[#This Row],[CancelDate]]),"Active","Churned")</f>
        <v>Active</v>
      </c>
      <c r="M457">
        <f ca="1">IF(ISBLANK(Table1[[#This Row],[CancelDate]]),DATEDIF(Table1[[#This Row],[JoinDate]],TODAY(),"M"),DATEDIF(Table1[[#This Row],[JoinDate]],Table1[[#This Row],[CancelDate]],"M"))</f>
        <v>30</v>
      </c>
      <c r="N457" t="str">
        <f>IF(Table1[[#This Row],[EngagementScore]]&lt;=40,"Low",IF(Table1[[#This Row],[EngagementScore]]&lt;=70,"Medium","High"))</f>
        <v>Low</v>
      </c>
      <c r="O457" t="str">
        <f>IF(Table1[[#This Row],[Age]]&lt;25,"18-24",
IF(Table1[[#This Row],[Age]]&lt;35,"25-34",
IF(Table1[[#This Row],[Age]]&lt;45,"35-44","45+")))</f>
        <v>18-24</v>
      </c>
    </row>
    <row r="458" spans="1:15" x14ac:dyDescent="0.25">
      <c r="A458" t="s">
        <v>467</v>
      </c>
      <c r="B458" s="4">
        <v>44891</v>
      </c>
      <c r="D458">
        <v>55</v>
      </c>
      <c r="E458" t="s">
        <v>912</v>
      </c>
      <c r="F458" t="s">
        <v>914</v>
      </c>
      <c r="G458" t="s">
        <v>921</v>
      </c>
      <c r="H458">
        <v>4486.8500000000004</v>
      </c>
      <c r="I458">
        <v>3</v>
      </c>
      <c r="J458">
        <v>12</v>
      </c>
      <c r="K458" t="s">
        <v>924</v>
      </c>
      <c r="L458" t="str">
        <f>IF(ISBLANK(Table1[[#This Row],[CancelDate]]),"Active","Churned")</f>
        <v>Active</v>
      </c>
      <c r="M458">
        <f ca="1">IF(ISBLANK(Table1[[#This Row],[CancelDate]]),DATEDIF(Table1[[#This Row],[JoinDate]],TODAY(),"M"),DATEDIF(Table1[[#This Row],[JoinDate]],Table1[[#This Row],[CancelDate]],"M"))</f>
        <v>40</v>
      </c>
      <c r="N458" t="str">
        <f>IF(Table1[[#This Row],[EngagementScore]]&lt;=40,"Low",IF(Table1[[#This Row],[EngagementScore]]&lt;=70,"Medium","High"))</f>
        <v>Low</v>
      </c>
      <c r="O458" t="str">
        <f>IF(Table1[[#This Row],[Age]]&lt;25,"18-24",
IF(Table1[[#This Row],[Age]]&lt;35,"25-34",
IF(Table1[[#This Row],[Age]]&lt;45,"35-44","45+")))</f>
        <v>45+</v>
      </c>
    </row>
    <row r="459" spans="1:15" x14ac:dyDescent="0.25">
      <c r="A459" t="s">
        <v>468</v>
      </c>
      <c r="B459" s="4">
        <v>45435</v>
      </c>
      <c r="D459">
        <v>32</v>
      </c>
      <c r="E459" t="s">
        <v>911</v>
      </c>
      <c r="F459" t="s">
        <v>918</v>
      </c>
      <c r="G459" t="s">
        <v>922</v>
      </c>
      <c r="H459">
        <v>6166.1</v>
      </c>
      <c r="I459">
        <v>1</v>
      </c>
      <c r="J459">
        <v>32</v>
      </c>
      <c r="K459" t="s">
        <v>925</v>
      </c>
      <c r="L459" t="str">
        <f>IF(ISBLANK(Table1[[#This Row],[CancelDate]]),"Active","Churned")</f>
        <v>Active</v>
      </c>
      <c r="M459">
        <f ca="1">IF(ISBLANK(Table1[[#This Row],[CancelDate]]),DATEDIF(Table1[[#This Row],[JoinDate]],TODAY(),"M"),DATEDIF(Table1[[#This Row],[JoinDate]],Table1[[#This Row],[CancelDate]],"M"))</f>
        <v>22</v>
      </c>
      <c r="N459" t="str">
        <f>IF(Table1[[#This Row],[EngagementScore]]&lt;=40,"Low",IF(Table1[[#This Row],[EngagementScore]]&lt;=70,"Medium","High"))</f>
        <v>Low</v>
      </c>
      <c r="O459" t="str">
        <f>IF(Table1[[#This Row],[Age]]&lt;25,"18-24",
IF(Table1[[#This Row],[Age]]&lt;35,"25-34",
IF(Table1[[#This Row],[Age]]&lt;45,"35-44","45+")))</f>
        <v>25-34</v>
      </c>
    </row>
    <row r="460" spans="1:15" x14ac:dyDescent="0.25">
      <c r="A460" t="s">
        <v>469</v>
      </c>
      <c r="B460" s="4">
        <v>44603</v>
      </c>
      <c r="C460" s="1">
        <v>44849</v>
      </c>
      <c r="D460">
        <v>24</v>
      </c>
      <c r="E460" t="s">
        <v>911</v>
      </c>
      <c r="F460" t="s">
        <v>915</v>
      </c>
      <c r="G460" t="s">
        <v>921</v>
      </c>
      <c r="H460">
        <v>4451.29</v>
      </c>
      <c r="I460">
        <v>6</v>
      </c>
      <c r="J460">
        <v>19</v>
      </c>
      <c r="K460" t="s">
        <v>925</v>
      </c>
      <c r="L460" t="str">
        <f>IF(ISBLANK(Table1[[#This Row],[CancelDate]]),"Active","Churned")</f>
        <v>Churned</v>
      </c>
      <c r="M460">
        <f ca="1">IF(ISBLANK(Table1[[#This Row],[CancelDate]]),DATEDIF(Table1[[#This Row],[JoinDate]],TODAY(),"M"),DATEDIF(Table1[[#This Row],[JoinDate]],Table1[[#This Row],[CancelDate]],"M"))</f>
        <v>8</v>
      </c>
      <c r="N460" t="str">
        <f>IF(Table1[[#This Row],[EngagementScore]]&lt;=40,"Low",IF(Table1[[#This Row],[EngagementScore]]&lt;=70,"Medium","High"))</f>
        <v>Low</v>
      </c>
      <c r="O460" t="str">
        <f>IF(Table1[[#This Row],[Age]]&lt;25,"18-24",
IF(Table1[[#This Row],[Age]]&lt;35,"25-34",
IF(Table1[[#This Row],[Age]]&lt;45,"35-44","45+")))</f>
        <v>18-24</v>
      </c>
    </row>
    <row r="461" spans="1:15" x14ac:dyDescent="0.25">
      <c r="A461" t="s">
        <v>470</v>
      </c>
      <c r="B461" s="4">
        <v>44854</v>
      </c>
      <c r="D461">
        <v>25</v>
      </c>
      <c r="E461" t="s">
        <v>911</v>
      </c>
      <c r="F461" t="s">
        <v>914</v>
      </c>
      <c r="G461" t="s">
        <v>921</v>
      </c>
      <c r="H461">
        <v>8837.56</v>
      </c>
      <c r="I461">
        <v>14</v>
      </c>
      <c r="J461">
        <v>67</v>
      </c>
      <c r="K461" t="s">
        <v>925</v>
      </c>
      <c r="L461" t="str">
        <f>IF(ISBLANK(Table1[[#This Row],[CancelDate]]),"Active","Churned")</f>
        <v>Active</v>
      </c>
      <c r="M461">
        <f ca="1">IF(ISBLANK(Table1[[#This Row],[CancelDate]]),DATEDIF(Table1[[#This Row],[JoinDate]],TODAY(),"M"),DATEDIF(Table1[[#This Row],[JoinDate]],Table1[[#This Row],[CancelDate]],"M"))</f>
        <v>41</v>
      </c>
      <c r="N461" t="str">
        <f>IF(Table1[[#This Row],[EngagementScore]]&lt;=40,"Low",IF(Table1[[#This Row],[EngagementScore]]&lt;=70,"Medium","High"))</f>
        <v>Medium</v>
      </c>
      <c r="O461" t="str">
        <f>IF(Table1[[#This Row],[Age]]&lt;25,"18-24",
IF(Table1[[#This Row],[Age]]&lt;35,"25-34",
IF(Table1[[#This Row],[Age]]&lt;45,"35-44","45+")))</f>
        <v>25-34</v>
      </c>
    </row>
    <row r="462" spans="1:15" x14ac:dyDescent="0.25">
      <c r="A462" t="s">
        <v>471</v>
      </c>
      <c r="B462" s="4">
        <v>44986</v>
      </c>
      <c r="C462" s="1">
        <v>45090</v>
      </c>
      <c r="D462">
        <v>24</v>
      </c>
      <c r="E462" t="s">
        <v>912</v>
      </c>
      <c r="F462" t="s">
        <v>916</v>
      </c>
      <c r="G462" t="s">
        <v>921</v>
      </c>
      <c r="H462">
        <v>3149.63</v>
      </c>
      <c r="I462">
        <v>6</v>
      </c>
      <c r="J462">
        <v>20</v>
      </c>
      <c r="K462" t="s">
        <v>925</v>
      </c>
      <c r="L462" t="str">
        <f>IF(ISBLANK(Table1[[#This Row],[CancelDate]]),"Active","Churned")</f>
        <v>Churned</v>
      </c>
      <c r="M462">
        <f ca="1">IF(ISBLANK(Table1[[#This Row],[CancelDate]]),DATEDIF(Table1[[#This Row],[JoinDate]],TODAY(),"M"),DATEDIF(Table1[[#This Row],[JoinDate]],Table1[[#This Row],[CancelDate]],"M"))</f>
        <v>3</v>
      </c>
      <c r="N462" t="str">
        <f>IF(Table1[[#This Row],[EngagementScore]]&lt;=40,"Low",IF(Table1[[#This Row],[EngagementScore]]&lt;=70,"Medium","High"))</f>
        <v>Low</v>
      </c>
      <c r="O462" t="str">
        <f>IF(Table1[[#This Row],[Age]]&lt;25,"18-24",
IF(Table1[[#This Row],[Age]]&lt;35,"25-34",
IF(Table1[[#This Row],[Age]]&lt;45,"35-44","45+")))</f>
        <v>18-24</v>
      </c>
    </row>
    <row r="463" spans="1:15" x14ac:dyDescent="0.25">
      <c r="A463" t="s">
        <v>472</v>
      </c>
      <c r="B463" s="4">
        <v>45342</v>
      </c>
      <c r="C463" s="1">
        <v>45442</v>
      </c>
      <c r="D463">
        <v>55</v>
      </c>
      <c r="E463" t="s">
        <v>912</v>
      </c>
      <c r="F463" t="s">
        <v>917</v>
      </c>
      <c r="G463" t="s">
        <v>920</v>
      </c>
      <c r="H463">
        <v>2497.8200000000002</v>
      </c>
      <c r="I463">
        <v>3</v>
      </c>
      <c r="J463">
        <v>16</v>
      </c>
      <c r="K463" t="s">
        <v>925</v>
      </c>
      <c r="L463" t="str">
        <f>IF(ISBLANK(Table1[[#This Row],[CancelDate]]),"Active","Churned")</f>
        <v>Churned</v>
      </c>
      <c r="M463">
        <f ca="1">IF(ISBLANK(Table1[[#This Row],[CancelDate]]),DATEDIF(Table1[[#This Row],[JoinDate]],TODAY(),"M"),DATEDIF(Table1[[#This Row],[JoinDate]],Table1[[#This Row],[CancelDate]],"M"))</f>
        <v>3</v>
      </c>
      <c r="N463" t="str">
        <f>IF(Table1[[#This Row],[EngagementScore]]&lt;=40,"Low",IF(Table1[[#This Row],[EngagementScore]]&lt;=70,"Medium","High"))</f>
        <v>Low</v>
      </c>
      <c r="O463" t="str">
        <f>IF(Table1[[#This Row],[Age]]&lt;25,"18-24",
IF(Table1[[#This Row],[Age]]&lt;35,"25-34",
IF(Table1[[#This Row],[Age]]&lt;45,"35-44","45+")))</f>
        <v>45+</v>
      </c>
    </row>
    <row r="464" spans="1:15" x14ac:dyDescent="0.25">
      <c r="A464" t="s">
        <v>473</v>
      </c>
      <c r="B464" s="4">
        <v>44916</v>
      </c>
      <c r="D464">
        <v>51</v>
      </c>
      <c r="E464" t="s">
        <v>912</v>
      </c>
      <c r="F464" t="s">
        <v>916</v>
      </c>
      <c r="G464" t="s">
        <v>921</v>
      </c>
      <c r="H464">
        <v>12546.14</v>
      </c>
      <c r="I464">
        <v>13</v>
      </c>
      <c r="J464">
        <v>49</v>
      </c>
      <c r="K464" t="s">
        <v>925</v>
      </c>
      <c r="L464" t="str">
        <f>IF(ISBLANK(Table1[[#This Row],[CancelDate]]),"Active","Churned")</f>
        <v>Active</v>
      </c>
      <c r="M464">
        <f ca="1">IF(ISBLANK(Table1[[#This Row],[CancelDate]]),DATEDIF(Table1[[#This Row],[JoinDate]],TODAY(),"M"),DATEDIF(Table1[[#This Row],[JoinDate]],Table1[[#This Row],[CancelDate]],"M"))</f>
        <v>39</v>
      </c>
      <c r="N464" t="str">
        <f>IF(Table1[[#This Row],[EngagementScore]]&lt;=40,"Low",IF(Table1[[#This Row],[EngagementScore]]&lt;=70,"Medium","High"))</f>
        <v>Medium</v>
      </c>
      <c r="O464" t="str">
        <f>IF(Table1[[#This Row],[Age]]&lt;25,"18-24",
IF(Table1[[#This Row],[Age]]&lt;35,"25-34",
IF(Table1[[#This Row],[Age]]&lt;45,"35-44","45+")))</f>
        <v>45+</v>
      </c>
    </row>
    <row r="465" spans="1:15" x14ac:dyDescent="0.25">
      <c r="A465" t="s">
        <v>474</v>
      </c>
      <c r="B465" s="4">
        <v>45238</v>
      </c>
      <c r="D465">
        <v>29</v>
      </c>
      <c r="E465" t="s">
        <v>912</v>
      </c>
      <c r="F465" t="s">
        <v>916</v>
      </c>
      <c r="G465" t="s">
        <v>921</v>
      </c>
      <c r="H465">
        <v>12332.26</v>
      </c>
      <c r="I465">
        <v>9</v>
      </c>
      <c r="J465">
        <v>66</v>
      </c>
      <c r="K465" t="s">
        <v>924</v>
      </c>
      <c r="L465" t="str">
        <f>IF(ISBLANK(Table1[[#This Row],[CancelDate]]),"Active","Churned")</f>
        <v>Active</v>
      </c>
      <c r="M465">
        <f ca="1">IF(ISBLANK(Table1[[#This Row],[CancelDate]]),DATEDIF(Table1[[#This Row],[JoinDate]],TODAY(),"M"),DATEDIF(Table1[[#This Row],[JoinDate]],Table1[[#This Row],[CancelDate]],"M"))</f>
        <v>28</v>
      </c>
      <c r="N465" t="str">
        <f>IF(Table1[[#This Row],[EngagementScore]]&lt;=40,"Low",IF(Table1[[#This Row],[EngagementScore]]&lt;=70,"Medium","High"))</f>
        <v>Medium</v>
      </c>
      <c r="O465" t="str">
        <f>IF(Table1[[#This Row],[Age]]&lt;25,"18-24",
IF(Table1[[#This Row],[Age]]&lt;35,"25-34",
IF(Table1[[#This Row],[Age]]&lt;45,"35-44","45+")))</f>
        <v>25-34</v>
      </c>
    </row>
    <row r="466" spans="1:15" x14ac:dyDescent="0.25">
      <c r="A466" t="s">
        <v>475</v>
      </c>
      <c r="B466" s="4">
        <v>45416</v>
      </c>
      <c r="D466">
        <v>42</v>
      </c>
      <c r="E466" t="s">
        <v>912</v>
      </c>
      <c r="F466" t="s">
        <v>914</v>
      </c>
      <c r="G466" t="s">
        <v>922</v>
      </c>
      <c r="H466">
        <v>11383.88</v>
      </c>
      <c r="I466">
        <v>11</v>
      </c>
      <c r="J466">
        <v>48</v>
      </c>
      <c r="K466" t="s">
        <v>925</v>
      </c>
      <c r="L466" t="str">
        <f>IF(ISBLANK(Table1[[#This Row],[CancelDate]]),"Active","Churned")</f>
        <v>Active</v>
      </c>
      <c r="M466">
        <f ca="1">IF(ISBLANK(Table1[[#This Row],[CancelDate]]),DATEDIF(Table1[[#This Row],[JoinDate]],TODAY(),"M"),DATEDIF(Table1[[#This Row],[JoinDate]],Table1[[#This Row],[CancelDate]],"M"))</f>
        <v>22</v>
      </c>
      <c r="N466" t="str">
        <f>IF(Table1[[#This Row],[EngagementScore]]&lt;=40,"Low",IF(Table1[[#This Row],[EngagementScore]]&lt;=70,"Medium","High"))</f>
        <v>Medium</v>
      </c>
      <c r="O466" t="str">
        <f>IF(Table1[[#This Row],[Age]]&lt;25,"18-24",
IF(Table1[[#This Row],[Age]]&lt;35,"25-34",
IF(Table1[[#This Row],[Age]]&lt;45,"35-44","45+")))</f>
        <v>35-44</v>
      </c>
    </row>
    <row r="467" spans="1:15" x14ac:dyDescent="0.25">
      <c r="A467" t="s">
        <v>476</v>
      </c>
      <c r="B467" s="4">
        <v>45271</v>
      </c>
      <c r="D467">
        <v>33</v>
      </c>
      <c r="E467" t="s">
        <v>911</v>
      </c>
      <c r="F467" t="s">
        <v>914</v>
      </c>
      <c r="G467" t="s">
        <v>921</v>
      </c>
      <c r="H467">
        <v>5816.97</v>
      </c>
      <c r="I467">
        <v>11</v>
      </c>
      <c r="J467">
        <v>50</v>
      </c>
      <c r="K467" t="s">
        <v>925</v>
      </c>
      <c r="L467" t="str">
        <f>IF(ISBLANK(Table1[[#This Row],[CancelDate]]),"Active","Churned")</f>
        <v>Active</v>
      </c>
      <c r="M467">
        <f ca="1">IF(ISBLANK(Table1[[#This Row],[CancelDate]]),DATEDIF(Table1[[#This Row],[JoinDate]],TODAY(),"M"),DATEDIF(Table1[[#This Row],[JoinDate]],Table1[[#This Row],[CancelDate]],"M"))</f>
        <v>27</v>
      </c>
      <c r="N467" t="str">
        <f>IF(Table1[[#This Row],[EngagementScore]]&lt;=40,"Low",IF(Table1[[#This Row],[EngagementScore]]&lt;=70,"Medium","High"))</f>
        <v>Medium</v>
      </c>
      <c r="O467" t="str">
        <f>IF(Table1[[#This Row],[Age]]&lt;25,"18-24",
IF(Table1[[#This Row],[Age]]&lt;35,"25-34",
IF(Table1[[#This Row],[Age]]&lt;45,"35-44","45+")))</f>
        <v>25-34</v>
      </c>
    </row>
    <row r="468" spans="1:15" x14ac:dyDescent="0.25">
      <c r="A468" t="s">
        <v>477</v>
      </c>
      <c r="B468" s="4">
        <v>44621</v>
      </c>
      <c r="D468">
        <v>33</v>
      </c>
      <c r="E468" t="s">
        <v>912</v>
      </c>
      <c r="F468" t="s">
        <v>918</v>
      </c>
      <c r="G468" t="s">
        <v>921</v>
      </c>
      <c r="H468">
        <v>11447.8</v>
      </c>
      <c r="I468">
        <v>12</v>
      </c>
      <c r="J468">
        <v>69</v>
      </c>
      <c r="K468" t="s">
        <v>924</v>
      </c>
      <c r="L468" t="str">
        <f>IF(ISBLANK(Table1[[#This Row],[CancelDate]]),"Active","Churned")</f>
        <v>Active</v>
      </c>
      <c r="M468">
        <f ca="1">IF(ISBLANK(Table1[[#This Row],[CancelDate]]),DATEDIF(Table1[[#This Row],[JoinDate]],TODAY(),"M"),DATEDIF(Table1[[#This Row],[JoinDate]],Table1[[#This Row],[CancelDate]],"M"))</f>
        <v>49</v>
      </c>
      <c r="N468" t="str">
        <f>IF(Table1[[#This Row],[EngagementScore]]&lt;=40,"Low",IF(Table1[[#This Row],[EngagementScore]]&lt;=70,"Medium","High"))</f>
        <v>Medium</v>
      </c>
      <c r="O468" t="str">
        <f>IF(Table1[[#This Row],[Age]]&lt;25,"18-24",
IF(Table1[[#This Row],[Age]]&lt;35,"25-34",
IF(Table1[[#This Row],[Age]]&lt;45,"35-44","45+")))</f>
        <v>25-34</v>
      </c>
    </row>
    <row r="469" spans="1:15" x14ac:dyDescent="0.25">
      <c r="A469" t="s">
        <v>478</v>
      </c>
      <c r="B469" s="4">
        <v>44897</v>
      </c>
      <c r="D469">
        <v>33</v>
      </c>
      <c r="E469" t="s">
        <v>912</v>
      </c>
      <c r="F469" t="s">
        <v>916</v>
      </c>
      <c r="G469" t="s">
        <v>921</v>
      </c>
      <c r="H469">
        <v>13995.14</v>
      </c>
      <c r="I469">
        <v>10</v>
      </c>
      <c r="J469">
        <v>49</v>
      </c>
      <c r="K469" t="s">
        <v>923</v>
      </c>
      <c r="L469" t="str">
        <f>IF(ISBLANK(Table1[[#This Row],[CancelDate]]),"Active","Churned")</f>
        <v>Active</v>
      </c>
      <c r="M469">
        <f ca="1">IF(ISBLANK(Table1[[#This Row],[CancelDate]]),DATEDIF(Table1[[#This Row],[JoinDate]],TODAY(),"M"),DATEDIF(Table1[[#This Row],[JoinDate]],Table1[[#This Row],[CancelDate]],"M"))</f>
        <v>40</v>
      </c>
      <c r="N469" t="str">
        <f>IF(Table1[[#This Row],[EngagementScore]]&lt;=40,"Low",IF(Table1[[#This Row],[EngagementScore]]&lt;=70,"Medium","High"))</f>
        <v>Medium</v>
      </c>
      <c r="O469" t="str">
        <f>IF(Table1[[#This Row],[Age]]&lt;25,"18-24",
IF(Table1[[#This Row],[Age]]&lt;35,"25-34",
IF(Table1[[#This Row],[Age]]&lt;45,"35-44","45+")))</f>
        <v>25-34</v>
      </c>
    </row>
    <row r="470" spans="1:15" x14ac:dyDescent="0.25">
      <c r="A470" t="s">
        <v>479</v>
      </c>
      <c r="B470" s="4">
        <v>44693</v>
      </c>
      <c r="D470">
        <v>19</v>
      </c>
      <c r="E470" t="s">
        <v>912</v>
      </c>
      <c r="F470" t="s">
        <v>918</v>
      </c>
      <c r="G470" t="s">
        <v>920</v>
      </c>
      <c r="H470">
        <v>19344.7</v>
      </c>
      <c r="I470">
        <v>14</v>
      </c>
      <c r="J470">
        <v>73</v>
      </c>
      <c r="K470" t="s">
        <v>925</v>
      </c>
      <c r="L470" t="str">
        <f>IF(ISBLANK(Table1[[#This Row],[CancelDate]]),"Active","Churned")</f>
        <v>Active</v>
      </c>
      <c r="M470">
        <f ca="1">IF(ISBLANK(Table1[[#This Row],[CancelDate]]),DATEDIF(Table1[[#This Row],[JoinDate]],TODAY(),"M"),DATEDIF(Table1[[#This Row],[JoinDate]],Table1[[#This Row],[CancelDate]],"M"))</f>
        <v>46</v>
      </c>
      <c r="N470" t="str">
        <f>IF(Table1[[#This Row],[EngagementScore]]&lt;=40,"Low",IF(Table1[[#This Row],[EngagementScore]]&lt;=70,"Medium","High"))</f>
        <v>High</v>
      </c>
      <c r="O470" t="str">
        <f>IF(Table1[[#This Row],[Age]]&lt;25,"18-24",
IF(Table1[[#This Row],[Age]]&lt;35,"25-34",
IF(Table1[[#This Row],[Age]]&lt;45,"35-44","45+")))</f>
        <v>18-24</v>
      </c>
    </row>
    <row r="471" spans="1:15" x14ac:dyDescent="0.25">
      <c r="A471" t="s">
        <v>480</v>
      </c>
      <c r="B471" s="4">
        <v>44727</v>
      </c>
      <c r="C471" s="1">
        <v>44758</v>
      </c>
      <c r="D471">
        <v>25</v>
      </c>
      <c r="E471" t="s">
        <v>912</v>
      </c>
      <c r="F471" t="s">
        <v>918</v>
      </c>
      <c r="G471" t="s">
        <v>920</v>
      </c>
      <c r="H471">
        <v>7138.22</v>
      </c>
      <c r="I471">
        <v>12</v>
      </c>
      <c r="J471">
        <v>65</v>
      </c>
      <c r="K471" t="s">
        <v>923</v>
      </c>
      <c r="L471" t="str">
        <f>IF(ISBLANK(Table1[[#This Row],[CancelDate]]),"Active","Churned")</f>
        <v>Churned</v>
      </c>
      <c r="M471">
        <f ca="1">IF(ISBLANK(Table1[[#This Row],[CancelDate]]),DATEDIF(Table1[[#This Row],[JoinDate]],TODAY(),"M"),DATEDIF(Table1[[#This Row],[JoinDate]],Table1[[#This Row],[CancelDate]],"M"))</f>
        <v>1</v>
      </c>
      <c r="N471" t="str">
        <f>IF(Table1[[#This Row],[EngagementScore]]&lt;=40,"Low",IF(Table1[[#This Row],[EngagementScore]]&lt;=70,"Medium","High"))</f>
        <v>Medium</v>
      </c>
      <c r="O471" t="str">
        <f>IF(Table1[[#This Row],[Age]]&lt;25,"18-24",
IF(Table1[[#This Row],[Age]]&lt;35,"25-34",
IF(Table1[[#This Row],[Age]]&lt;45,"35-44","45+")))</f>
        <v>25-34</v>
      </c>
    </row>
    <row r="472" spans="1:15" x14ac:dyDescent="0.25">
      <c r="A472" t="s">
        <v>481</v>
      </c>
      <c r="B472" s="4">
        <v>44932</v>
      </c>
      <c r="C472" s="1">
        <v>45169</v>
      </c>
      <c r="D472">
        <v>51</v>
      </c>
      <c r="E472" t="s">
        <v>911</v>
      </c>
      <c r="F472" t="s">
        <v>915</v>
      </c>
      <c r="G472" t="s">
        <v>920</v>
      </c>
      <c r="H472">
        <v>4443.16</v>
      </c>
      <c r="I472">
        <v>6</v>
      </c>
      <c r="J472">
        <v>15</v>
      </c>
      <c r="K472" t="s">
        <v>923</v>
      </c>
      <c r="L472" t="str">
        <f>IF(ISBLANK(Table1[[#This Row],[CancelDate]]),"Active","Churned")</f>
        <v>Churned</v>
      </c>
      <c r="M472">
        <f ca="1">IF(ISBLANK(Table1[[#This Row],[CancelDate]]),DATEDIF(Table1[[#This Row],[JoinDate]],TODAY(),"M"),DATEDIF(Table1[[#This Row],[JoinDate]],Table1[[#This Row],[CancelDate]],"M"))</f>
        <v>7</v>
      </c>
      <c r="N472" t="str">
        <f>IF(Table1[[#This Row],[EngagementScore]]&lt;=40,"Low",IF(Table1[[#This Row],[EngagementScore]]&lt;=70,"Medium","High"))</f>
        <v>Low</v>
      </c>
      <c r="O472" t="str">
        <f>IF(Table1[[#This Row],[Age]]&lt;25,"18-24",
IF(Table1[[#This Row],[Age]]&lt;35,"25-34",
IF(Table1[[#This Row],[Age]]&lt;45,"35-44","45+")))</f>
        <v>45+</v>
      </c>
    </row>
    <row r="473" spans="1:15" x14ac:dyDescent="0.25">
      <c r="A473" t="s">
        <v>482</v>
      </c>
      <c r="B473" s="4">
        <v>44648</v>
      </c>
      <c r="C473" s="1">
        <v>44794</v>
      </c>
      <c r="D473">
        <v>47</v>
      </c>
      <c r="E473" t="s">
        <v>912</v>
      </c>
      <c r="F473" t="s">
        <v>914</v>
      </c>
      <c r="G473" t="s">
        <v>921</v>
      </c>
      <c r="H473">
        <v>5560.62</v>
      </c>
      <c r="I473">
        <v>4</v>
      </c>
      <c r="J473">
        <v>12</v>
      </c>
      <c r="K473" t="s">
        <v>925</v>
      </c>
      <c r="L473" t="str">
        <f>IF(ISBLANK(Table1[[#This Row],[CancelDate]]),"Active","Churned")</f>
        <v>Churned</v>
      </c>
      <c r="M473">
        <f ca="1">IF(ISBLANK(Table1[[#This Row],[CancelDate]]),DATEDIF(Table1[[#This Row],[JoinDate]],TODAY(),"M"),DATEDIF(Table1[[#This Row],[JoinDate]],Table1[[#This Row],[CancelDate]],"M"))</f>
        <v>4</v>
      </c>
      <c r="N473" t="str">
        <f>IF(Table1[[#This Row],[EngagementScore]]&lt;=40,"Low",IF(Table1[[#This Row],[EngagementScore]]&lt;=70,"Medium","High"))</f>
        <v>Low</v>
      </c>
      <c r="O473" t="str">
        <f>IF(Table1[[#This Row],[Age]]&lt;25,"18-24",
IF(Table1[[#This Row],[Age]]&lt;35,"25-34",
IF(Table1[[#This Row],[Age]]&lt;45,"35-44","45+")))</f>
        <v>45+</v>
      </c>
    </row>
    <row r="474" spans="1:15" x14ac:dyDescent="0.25">
      <c r="A474" t="s">
        <v>483</v>
      </c>
      <c r="B474" s="4">
        <v>45248</v>
      </c>
      <c r="C474" s="1">
        <v>45282</v>
      </c>
      <c r="D474">
        <v>44</v>
      </c>
      <c r="E474" t="s">
        <v>912</v>
      </c>
      <c r="F474" t="s">
        <v>918</v>
      </c>
      <c r="G474" t="s">
        <v>920</v>
      </c>
      <c r="H474">
        <v>2392.31</v>
      </c>
      <c r="I474">
        <v>5</v>
      </c>
      <c r="J474">
        <v>36</v>
      </c>
      <c r="K474" t="s">
        <v>925</v>
      </c>
      <c r="L474" t="str">
        <f>IF(ISBLANK(Table1[[#This Row],[CancelDate]]),"Active","Churned")</f>
        <v>Churned</v>
      </c>
      <c r="M474">
        <f ca="1">IF(ISBLANK(Table1[[#This Row],[CancelDate]]),DATEDIF(Table1[[#This Row],[JoinDate]],TODAY(),"M"),DATEDIF(Table1[[#This Row],[JoinDate]],Table1[[#This Row],[CancelDate]],"M"))</f>
        <v>1</v>
      </c>
      <c r="N474" t="str">
        <f>IF(Table1[[#This Row],[EngagementScore]]&lt;=40,"Low",IF(Table1[[#This Row],[EngagementScore]]&lt;=70,"Medium","High"))</f>
        <v>Low</v>
      </c>
      <c r="O474" t="str">
        <f>IF(Table1[[#This Row],[Age]]&lt;25,"18-24",
IF(Table1[[#This Row],[Age]]&lt;35,"25-34",
IF(Table1[[#This Row],[Age]]&lt;45,"35-44","45+")))</f>
        <v>35-44</v>
      </c>
    </row>
    <row r="475" spans="1:15" x14ac:dyDescent="0.25">
      <c r="A475" t="s">
        <v>484</v>
      </c>
      <c r="B475" s="4">
        <v>44576</v>
      </c>
      <c r="D475">
        <v>45</v>
      </c>
      <c r="E475" t="s">
        <v>912</v>
      </c>
      <c r="F475" t="s">
        <v>916</v>
      </c>
      <c r="G475" t="s">
        <v>921</v>
      </c>
      <c r="H475">
        <v>26369.17</v>
      </c>
      <c r="I475">
        <v>19</v>
      </c>
      <c r="J475">
        <v>85</v>
      </c>
      <c r="K475" t="s">
        <v>925</v>
      </c>
      <c r="L475" t="str">
        <f>IF(ISBLANK(Table1[[#This Row],[CancelDate]]),"Active","Churned")</f>
        <v>Active</v>
      </c>
      <c r="M475">
        <f ca="1">IF(ISBLANK(Table1[[#This Row],[CancelDate]]),DATEDIF(Table1[[#This Row],[JoinDate]],TODAY(),"M"),DATEDIF(Table1[[#This Row],[JoinDate]],Table1[[#This Row],[CancelDate]],"M"))</f>
        <v>50</v>
      </c>
      <c r="N475" t="str">
        <f>IF(Table1[[#This Row],[EngagementScore]]&lt;=40,"Low",IF(Table1[[#This Row],[EngagementScore]]&lt;=70,"Medium","High"))</f>
        <v>High</v>
      </c>
      <c r="O475" t="str">
        <f>IF(Table1[[#This Row],[Age]]&lt;25,"18-24",
IF(Table1[[#This Row],[Age]]&lt;35,"25-34",
IF(Table1[[#This Row],[Age]]&lt;45,"35-44","45+")))</f>
        <v>45+</v>
      </c>
    </row>
    <row r="476" spans="1:15" x14ac:dyDescent="0.25">
      <c r="A476" t="s">
        <v>485</v>
      </c>
      <c r="B476" s="4">
        <v>45221</v>
      </c>
      <c r="C476" s="1">
        <v>45566</v>
      </c>
      <c r="D476">
        <v>32</v>
      </c>
      <c r="E476" t="s">
        <v>912</v>
      </c>
      <c r="F476" t="s">
        <v>914</v>
      </c>
      <c r="G476" t="s">
        <v>921</v>
      </c>
      <c r="H476">
        <v>12987.44</v>
      </c>
      <c r="I476">
        <v>12</v>
      </c>
      <c r="J476">
        <v>55</v>
      </c>
      <c r="K476" t="s">
        <v>925</v>
      </c>
      <c r="L476" t="str">
        <f>IF(ISBLANK(Table1[[#This Row],[CancelDate]]),"Active","Churned")</f>
        <v>Churned</v>
      </c>
      <c r="M476">
        <f ca="1">IF(ISBLANK(Table1[[#This Row],[CancelDate]]),DATEDIF(Table1[[#This Row],[JoinDate]],TODAY(),"M"),DATEDIF(Table1[[#This Row],[JoinDate]],Table1[[#This Row],[CancelDate]],"M"))</f>
        <v>11</v>
      </c>
      <c r="N476" t="str">
        <f>IF(Table1[[#This Row],[EngagementScore]]&lt;=40,"Low",IF(Table1[[#This Row],[EngagementScore]]&lt;=70,"Medium","High"))</f>
        <v>Medium</v>
      </c>
      <c r="O476" t="str">
        <f>IF(Table1[[#This Row],[Age]]&lt;25,"18-24",
IF(Table1[[#This Row],[Age]]&lt;35,"25-34",
IF(Table1[[#This Row],[Age]]&lt;45,"35-44","45+")))</f>
        <v>25-34</v>
      </c>
    </row>
    <row r="477" spans="1:15" x14ac:dyDescent="0.25">
      <c r="A477" t="s">
        <v>486</v>
      </c>
      <c r="B477" s="4">
        <v>44740</v>
      </c>
      <c r="D477">
        <v>21</v>
      </c>
      <c r="E477" t="s">
        <v>911</v>
      </c>
      <c r="F477" t="s">
        <v>915</v>
      </c>
      <c r="G477" t="s">
        <v>922</v>
      </c>
      <c r="H477">
        <v>12372.29</v>
      </c>
      <c r="I477">
        <v>14</v>
      </c>
      <c r="J477">
        <v>73</v>
      </c>
      <c r="K477" t="s">
        <v>923</v>
      </c>
      <c r="L477" t="str">
        <f>IF(ISBLANK(Table1[[#This Row],[CancelDate]]),"Active","Churned")</f>
        <v>Active</v>
      </c>
      <c r="M477">
        <f ca="1">IF(ISBLANK(Table1[[#This Row],[CancelDate]]),DATEDIF(Table1[[#This Row],[JoinDate]],TODAY(),"M"),DATEDIF(Table1[[#This Row],[JoinDate]],Table1[[#This Row],[CancelDate]],"M"))</f>
        <v>45</v>
      </c>
      <c r="N477" t="str">
        <f>IF(Table1[[#This Row],[EngagementScore]]&lt;=40,"Low",IF(Table1[[#This Row],[EngagementScore]]&lt;=70,"Medium","High"))</f>
        <v>High</v>
      </c>
      <c r="O477" t="str">
        <f>IF(Table1[[#This Row],[Age]]&lt;25,"18-24",
IF(Table1[[#This Row],[Age]]&lt;35,"25-34",
IF(Table1[[#This Row],[Age]]&lt;45,"35-44","45+")))</f>
        <v>18-24</v>
      </c>
    </row>
    <row r="478" spans="1:15" x14ac:dyDescent="0.25">
      <c r="A478" t="s">
        <v>487</v>
      </c>
      <c r="B478" s="4">
        <v>44926</v>
      </c>
      <c r="C478" s="1">
        <v>45155</v>
      </c>
      <c r="D478">
        <v>45</v>
      </c>
      <c r="E478" t="s">
        <v>911</v>
      </c>
      <c r="F478" t="s">
        <v>919</v>
      </c>
      <c r="G478" t="s">
        <v>921</v>
      </c>
      <c r="H478">
        <v>5014.08</v>
      </c>
      <c r="I478">
        <v>1</v>
      </c>
      <c r="J478">
        <v>20</v>
      </c>
      <c r="K478" t="s">
        <v>925</v>
      </c>
      <c r="L478" t="str">
        <f>IF(ISBLANK(Table1[[#This Row],[CancelDate]]),"Active","Churned")</f>
        <v>Churned</v>
      </c>
      <c r="M478">
        <f ca="1">IF(ISBLANK(Table1[[#This Row],[CancelDate]]),DATEDIF(Table1[[#This Row],[JoinDate]],TODAY(),"M"),DATEDIF(Table1[[#This Row],[JoinDate]],Table1[[#This Row],[CancelDate]],"M"))</f>
        <v>7</v>
      </c>
      <c r="N478" t="str">
        <f>IF(Table1[[#This Row],[EngagementScore]]&lt;=40,"Low",IF(Table1[[#This Row],[EngagementScore]]&lt;=70,"Medium","High"))</f>
        <v>Low</v>
      </c>
      <c r="O478" t="str">
        <f>IF(Table1[[#This Row],[Age]]&lt;25,"18-24",
IF(Table1[[#This Row],[Age]]&lt;35,"25-34",
IF(Table1[[#This Row],[Age]]&lt;45,"35-44","45+")))</f>
        <v>45+</v>
      </c>
    </row>
    <row r="479" spans="1:15" x14ac:dyDescent="0.25">
      <c r="A479" t="s">
        <v>488</v>
      </c>
      <c r="B479" s="4">
        <v>44855</v>
      </c>
      <c r="D479">
        <v>34</v>
      </c>
      <c r="E479" t="s">
        <v>911</v>
      </c>
      <c r="F479" t="s">
        <v>917</v>
      </c>
      <c r="G479" t="s">
        <v>920</v>
      </c>
      <c r="H479">
        <v>29044</v>
      </c>
      <c r="I479">
        <v>23</v>
      </c>
      <c r="J479">
        <v>70</v>
      </c>
      <c r="K479" t="s">
        <v>923</v>
      </c>
      <c r="L479" t="str">
        <f>IF(ISBLANK(Table1[[#This Row],[CancelDate]]),"Active","Churned")</f>
        <v>Active</v>
      </c>
      <c r="M479">
        <f ca="1">IF(ISBLANK(Table1[[#This Row],[CancelDate]]),DATEDIF(Table1[[#This Row],[JoinDate]],TODAY(),"M"),DATEDIF(Table1[[#This Row],[JoinDate]],Table1[[#This Row],[CancelDate]],"M"))</f>
        <v>41</v>
      </c>
      <c r="N479" t="str">
        <f>IF(Table1[[#This Row],[EngagementScore]]&lt;=40,"Low",IF(Table1[[#This Row],[EngagementScore]]&lt;=70,"Medium","High"))</f>
        <v>Medium</v>
      </c>
      <c r="O479" t="str">
        <f>IF(Table1[[#This Row],[Age]]&lt;25,"18-24",
IF(Table1[[#This Row],[Age]]&lt;35,"25-34",
IF(Table1[[#This Row],[Age]]&lt;45,"35-44","45+")))</f>
        <v>25-34</v>
      </c>
    </row>
    <row r="480" spans="1:15" x14ac:dyDescent="0.25">
      <c r="A480" t="s">
        <v>489</v>
      </c>
      <c r="B480" s="4">
        <v>44875</v>
      </c>
      <c r="D480">
        <v>58</v>
      </c>
      <c r="E480" t="s">
        <v>911</v>
      </c>
      <c r="F480" t="s">
        <v>914</v>
      </c>
      <c r="G480" t="s">
        <v>922</v>
      </c>
      <c r="H480">
        <v>3451.82</v>
      </c>
      <c r="I480">
        <v>3</v>
      </c>
      <c r="J480">
        <v>10</v>
      </c>
      <c r="K480" t="s">
        <v>923</v>
      </c>
      <c r="L480" t="str">
        <f>IF(ISBLANK(Table1[[#This Row],[CancelDate]]),"Active","Churned")</f>
        <v>Active</v>
      </c>
      <c r="M480">
        <f ca="1">IF(ISBLANK(Table1[[#This Row],[CancelDate]]),DATEDIF(Table1[[#This Row],[JoinDate]],TODAY(),"M"),DATEDIF(Table1[[#This Row],[JoinDate]],Table1[[#This Row],[CancelDate]],"M"))</f>
        <v>40</v>
      </c>
      <c r="N480" t="str">
        <f>IF(Table1[[#This Row],[EngagementScore]]&lt;=40,"Low",IF(Table1[[#This Row],[EngagementScore]]&lt;=70,"Medium","High"))</f>
        <v>Low</v>
      </c>
      <c r="O480" t="str">
        <f>IF(Table1[[#This Row],[Age]]&lt;25,"18-24",
IF(Table1[[#This Row],[Age]]&lt;35,"25-34",
IF(Table1[[#This Row],[Age]]&lt;45,"35-44","45+")))</f>
        <v>45+</v>
      </c>
    </row>
    <row r="481" spans="1:15" x14ac:dyDescent="0.25">
      <c r="A481" t="s">
        <v>490</v>
      </c>
      <c r="B481" s="4">
        <v>45056</v>
      </c>
      <c r="D481">
        <v>30</v>
      </c>
      <c r="E481" t="s">
        <v>912</v>
      </c>
      <c r="F481" t="s">
        <v>916</v>
      </c>
      <c r="G481" t="s">
        <v>921</v>
      </c>
      <c r="H481">
        <v>16170</v>
      </c>
      <c r="I481">
        <v>24</v>
      </c>
      <c r="J481">
        <v>76</v>
      </c>
      <c r="K481" t="s">
        <v>923</v>
      </c>
      <c r="L481" t="str">
        <f>IF(ISBLANK(Table1[[#This Row],[CancelDate]]),"Active","Churned")</f>
        <v>Active</v>
      </c>
      <c r="M481">
        <f ca="1">IF(ISBLANK(Table1[[#This Row],[CancelDate]]),DATEDIF(Table1[[#This Row],[JoinDate]],TODAY(),"M"),DATEDIF(Table1[[#This Row],[JoinDate]],Table1[[#This Row],[CancelDate]],"M"))</f>
        <v>34</v>
      </c>
      <c r="N481" t="str">
        <f>IF(Table1[[#This Row],[EngagementScore]]&lt;=40,"Low",IF(Table1[[#This Row],[EngagementScore]]&lt;=70,"Medium","High"))</f>
        <v>High</v>
      </c>
      <c r="O481" t="str">
        <f>IF(Table1[[#This Row],[Age]]&lt;25,"18-24",
IF(Table1[[#This Row],[Age]]&lt;35,"25-34",
IF(Table1[[#This Row],[Age]]&lt;45,"35-44","45+")))</f>
        <v>25-34</v>
      </c>
    </row>
    <row r="482" spans="1:15" x14ac:dyDescent="0.25">
      <c r="A482" t="s">
        <v>491</v>
      </c>
      <c r="B482" s="4">
        <v>44905</v>
      </c>
      <c r="C482" s="1">
        <v>45126</v>
      </c>
      <c r="D482">
        <v>34</v>
      </c>
      <c r="E482" t="s">
        <v>912</v>
      </c>
      <c r="F482" t="s">
        <v>916</v>
      </c>
      <c r="G482" t="s">
        <v>922</v>
      </c>
      <c r="H482">
        <v>5189.1099999999997</v>
      </c>
      <c r="I482">
        <v>6</v>
      </c>
      <c r="J482">
        <v>17</v>
      </c>
      <c r="K482" t="s">
        <v>924</v>
      </c>
      <c r="L482" t="str">
        <f>IF(ISBLANK(Table1[[#This Row],[CancelDate]]),"Active","Churned")</f>
        <v>Churned</v>
      </c>
      <c r="M482">
        <f ca="1">IF(ISBLANK(Table1[[#This Row],[CancelDate]]),DATEDIF(Table1[[#This Row],[JoinDate]],TODAY(),"M"),DATEDIF(Table1[[#This Row],[JoinDate]],Table1[[#This Row],[CancelDate]],"M"))</f>
        <v>7</v>
      </c>
      <c r="N482" t="str">
        <f>IF(Table1[[#This Row],[EngagementScore]]&lt;=40,"Low",IF(Table1[[#This Row],[EngagementScore]]&lt;=70,"Medium","High"))</f>
        <v>Low</v>
      </c>
      <c r="O482" t="str">
        <f>IF(Table1[[#This Row],[Age]]&lt;25,"18-24",
IF(Table1[[#This Row],[Age]]&lt;35,"25-34",
IF(Table1[[#This Row],[Age]]&lt;45,"35-44","45+")))</f>
        <v>25-34</v>
      </c>
    </row>
    <row r="483" spans="1:15" x14ac:dyDescent="0.25">
      <c r="A483" t="s">
        <v>492</v>
      </c>
      <c r="B483" s="4">
        <v>45143</v>
      </c>
      <c r="D483">
        <v>25</v>
      </c>
      <c r="E483" t="s">
        <v>911</v>
      </c>
      <c r="F483" t="s">
        <v>918</v>
      </c>
      <c r="G483" t="s">
        <v>922</v>
      </c>
      <c r="H483">
        <v>10404.74</v>
      </c>
      <c r="I483">
        <v>5</v>
      </c>
      <c r="J483">
        <v>62</v>
      </c>
      <c r="K483" t="s">
        <v>925</v>
      </c>
      <c r="L483" t="str">
        <f>IF(ISBLANK(Table1[[#This Row],[CancelDate]]),"Active","Churned")</f>
        <v>Active</v>
      </c>
      <c r="M483">
        <f ca="1">IF(ISBLANK(Table1[[#This Row],[CancelDate]]),DATEDIF(Table1[[#This Row],[JoinDate]],TODAY(),"M"),DATEDIF(Table1[[#This Row],[JoinDate]],Table1[[#This Row],[CancelDate]],"M"))</f>
        <v>31</v>
      </c>
      <c r="N483" t="str">
        <f>IF(Table1[[#This Row],[EngagementScore]]&lt;=40,"Low",IF(Table1[[#This Row],[EngagementScore]]&lt;=70,"Medium","High"))</f>
        <v>Medium</v>
      </c>
      <c r="O483" t="str">
        <f>IF(Table1[[#This Row],[Age]]&lt;25,"18-24",
IF(Table1[[#This Row],[Age]]&lt;35,"25-34",
IF(Table1[[#This Row],[Age]]&lt;45,"35-44","45+")))</f>
        <v>25-34</v>
      </c>
    </row>
    <row r="484" spans="1:15" x14ac:dyDescent="0.25">
      <c r="A484" t="s">
        <v>493</v>
      </c>
      <c r="B484" s="4">
        <v>45290</v>
      </c>
      <c r="C484" s="1">
        <v>45640</v>
      </c>
      <c r="D484">
        <v>55</v>
      </c>
      <c r="E484" t="s">
        <v>912</v>
      </c>
      <c r="F484" t="s">
        <v>919</v>
      </c>
      <c r="G484" t="s">
        <v>921</v>
      </c>
      <c r="H484">
        <v>5003.79</v>
      </c>
      <c r="I484">
        <v>7</v>
      </c>
      <c r="J484">
        <v>54</v>
      </c>
      <c r="K484" t="s">
        <v>925</v>
      </c>
      <c r="L484" t="str">
        <f>IF(ISBLANK(Table1[[#This Row],[CancelDate]]),"Active","Churned")</f>
        <v>Churned</v>
      </c>
      <c r="M484">
        <f ca="1">IF(ISBLANK(Table1[[#This Row],[CancelDate]]),DATEDIF(Table1[[#This Row],[JoinDate]],TODAY(),"M"),DATEDIF(Table1[[#This Row],[JoinDate]],Table1[[#This Row],[CancelDate]],"M"))</f>
        <v>11</v>
      </c>
      <c r="N484" t="str">
        <f>IF(Table1[[#This Row],[EngagementScore]]&lt;=40,"Low",IF(Table1[[#This Row],[EngagementScore]]&lt;=70,"Medium","High"))</f>
        <v>Medium</v>
      </c>
      <c r="O484" t="str">
        <f>IF(Table1[[#This Row],[Age]]&lt;25,"18-24",
IF(Table1[[#This Row],[Age]]&lt;35,"25-34",
IF(Table1[[#This Row],[Age]]&lt;45,"35-44","45+")))</f>
        <v>45+</v>
      </c>
    </row>
    <row r="485" spans="1:15" x14ac:dyDescent="0.25">
      <c r="A485" t="s">
        <v>494</v>
      </c>
      <c r="B485" s="4">
        <v>44829</v>
      </c>
      <c r="C485" s="1">
        <v>45040</v>
      </c>
      <c r="D485">
        <v>25</v>
      </c>
      <c r="E485" t="s">
        <v>912</v>
      </c>
      <c r="F485" t="s">
        <v>914</v>
      </c>
      <c r="G485" t="s">
        <v>921</v>
      </c>
      <c r="H485">
        <v>20657.330000000002</v>
      </c>
      <c r="I485">
        <v>25</v>
      </c>
      <c r="J485">
        <v>77</v>
      </c>
      <c r="K485" t="s">
        <v>923</v>
      </c>
      <c r="L485" t="str">
        <f>IF(ISBLANK(Table1[[#This Row],[CancelDate]]),"Active","Churned")</f>
        <v>Churned</v>
      </c>
      <c r="M485">
        <f ca="1">IF(ISBLANK(Table1[[#This Row],[CancelDate]]),DATEDIF(Table1[[#This Row],[JoinDate]],TODAY(),"M"),DATEDIF(Table1[[#This Row],[JoinDate]],Table1[[#This Row],[CancelDate]],"M"))</f>
        <v>6</v>
      </c>
      <c r="N485" t="str">
        <f>IF(Table1[[#This Row],[EngagementScore]]&lt;=40,"Low",IF(Table1[[#This Row],[EngagementScore]]&lt;=70,"Medium","High"))</f>
        <v>High</v>
      </c>
      <c r="O485" t="str">
        <f>IF(Table1[[#This Row],[Age]]&lt;25,"18-24",
IF(Table1[[#This Row],[Age]]&lt;35,"25-34",
IF(Table1[[#This Row],[Age]]&lt;45,"35-44","45+")))</f>
        <v>25-34</v>
      </c>
    </row>
    <row r="486" spans="1:15" x14ac:dyDescent="0.25">
      <c r="A486" t="s">
        <v>495</v>
      </c>
      <c r="B486" s="4">
        <v>45100</v>
      </c>
      <c r="D486">
        <v>31</v>
      </c>
      <c r="E486" t="s">
        <v>911</v>
      </c>
      <c r="F486" t="s">
        <v>917</v>
      </c>
      <c r="G486" t="s">
        <v>921</v>
      </c>
      <c r="H486">
        <v>12706.86</v>
      </c>
      <c r="I486">
        <v>7</v>
      </c>
      <c r="J486">
        <v>44</v>
      </c>
      <c r="K486" t="s">
        <v>925</v>
      </c>
      <c r="L486" t="str">
        <f>IF(ISBLANK(Table1[[#This Row],[CancelDate]]),"Active","Churned")</f>
        <v>Active</v>
      </c>
      <c r="M486">
        <f ca="1">IF(ISBLANK(Table1[[#This Row],[CancelDate]]),DATEDIF(Table1[[#This Row],[JoinDate]],TODAY(),"M"),DATEDIF(Table1[[#This Row],[JoinDate]],Table1[[#This Row],[CancelDate]],"M"))</f>
        <v>33</v>
      </c>
      <c r="N486" t="str">
        <f>IF(Table1[[#This Row],[EngagementScore]]&lt;=40,"Low",IF(Table1[[#This Row],[EngagementScore]]&lt;=70,"Medium","High"))</f>
        <v>Medium</v>
      </c>
      <c r="O486" t="str">
        <f>IF(Table1[[#This Row],[Age]]&lt;25,"18-24",
IF(Table1[[#This Row],[Age]]&lt;35,"25-34",
IF(Table1[[#This Row],[Age]]&lt;45,"35-44","45+")))</f>
        <v>25-34</v>
      </c>
    </row>
    <row r="487" spans="1:15" x14ac:dyDescent="0.25">
      <c r="A487" t="s">
        <v>496</v>
      </c>
      <c r="B487" s="4">
        <v>45063</v>
      </c>
      <c r="C487" s="1">
        <v>45115</v>
      </c>
      <c r="D487">
        <v>29</v>
      </c>
      <c r="E487" t="s">
        <v>912</v>
      </c>
      <c r="F487" t="s">
        <v>915</v>
      </c>
      <c r="G487" t="s">
        <v>920</v>
      </c>
      <c r="H487">
        <v>7393.21</v>
      </c>
      <c r="I487">
        <v>7</v>
      </c>
      <c r="J487">
        <v>32</v>
      </c>
      <c r="K487" t="s">
        <v>925</v>
      </c>
      <c r="L487" t="str">
        <f>IF(ISBLANK(Table1[[#This Row],[CancelDate]]),"Active","Churned")</f>
        <v>Churned</v>
      </c>
      <c r="M487">
        <f ca="1">IF(ISBLANK(Table1[[#This Row],[CancelDate]]),DATEDIF(Table1[[#This Row],[JoinDate]],TODAY(),"M"),DATEDIF(Table1[[#This Row],[JoinDate]],Table1[[#This Row],[CancelDate]],"M"))</f>
        <v>1</v>
      </c>
      <c r="N487" t="str">
        <f>IF(Table1[[#This Row],[EngagementScore]]&lt;=40,"Low",IF(Table1[[#This Row],[EngagementScore]]&lt;=70,"Medium","High"))</f>
        <v>Low</v>
      </c>
      <c r="O487" t="str">
        <f>IF(Table1[[#This Row],[Age]]&lt;25,"18-24",
IF(Table1[[#This Row],[Age]]&lt;35,"25-34",
IF(Table1[[#This Row],[Age]]&lt;45,"35-44","45+")))</f>
        <v>25-34</v>
      </c>
    </row>
    <row r="488" spans="1:15" x14ac:dyDescent="0.25">
      <c r="A488" t="s">
        <v>497</v>
      </c>
      <c r="B488" s="4">
        <v>44852</v>
      </c>
      <c r="C488" s="1">
        <v>44903</v>
      </c>
      <c r="D488">
        <v>36</v>
      </c>
      <c r="E488" t="s">
        <v>912</v>
      </c>
      <c r="F488" t="s">
        <v>916</v>
      </c>
      <c r="G488" t="s">
        <v>920</v>
      </c>
      <c r="H488">
        <v>7765.12</v>
      </c>
      <c r="I488">
        <v>5</v>
      </c>
      <c r="J488">
        <v>47</v>
      </c>
      <c r="K488" t="s">
        <v>925</v>
      </c>
      <c r="L488" t="str">
        <f>IF(ISBLANK(Table1[[#This Row],[CancelDate]]),"Active","Churned")</f>
        <v>Churned</v>
      </c>
      <c r="M488">
        <f ca="1">IF(ISBLANK(Table1[[#This Row],[CancelDate]]),DATEDIF(Table1[[#This Row],[JoinDate]],TODAY(),"M"),DATEDIF(Table1[[#This Row],[JoinDate]],Table1[[#This Row],[CancelDate]],"M"))</f>
        <v>1</v>
      </c>
      <c r="N488" t="str">
        <f>IF(Table1[[#This Row],[EngagementScore]]&lt;=40,"Low",IF(Table1[[#This Row],[EngagementScore]]&lt;=70,"Medium","High"))</f>
        <v>Medium</v>
      </c>
      <c r="O488" t="str">
        <f>IF(Table1[[#This Row],[Age]]&lt;25,"18-24",
IF(Table1[[#This Row],[Age]]&lt;35,"25-34",
IF(Table1[[#This Row],[Age]]&lt;45,"35-44","45+")))</f>
        <v>35-44</v>
      </c>
    </row>
    <row r="489" spans="1:15" x14ac:dyDescent="0.25">
      <c r="A489" t="s">
        <v>498</v>
      </c>
      <c r="B489" s="4">
        <v>45154</v>
      </c>
      <c r="C489" s="1">
        <v>45224</v>
      </c>
      <c r="D489">
        <v>27</v>
      </c>
      <c r="E489" t="s">
        <v>911</v>
      </c>
      <c r="F489" t="s">
        <v>916</v>
      </c>
      <c r="G489" t="s">
        <v>921</v>
      </c>
      <c r="H489">
        <v>5671.21</v>
      </c>
      <c r="I489">
        <v>5</v>
      </c>
      <c r="J489">
        <v>33</v>
      </c>
      <c r="K489" t="s">
        <v>925</v>
      </c>
      <c r="L489" t="str">
        <f>IF(ISBLANK(Table1[[#This Row],[CancelDate]]),"Active","Churned")</f>
        <v>Churned</v>
      </c>
      <c r="M489">
        <f ca="1">IF(ISBLANK(Table1[[#This Row],[CancelDate]]),DATEDIF(Table1[[#This Row],[JoinDate]],TODAY(),"M"),DATEDIF(Table1[[#This Row],[JoinDate]],Table1[[#This Row],[CancelDate]],"M"))</f>
        <v>2</v>
      </c>
      <c r="N489" t="str">
        <f>IF(Table1[[#This Row],[EngagementScore]]&lt;=40,"Low",IF(Table1[[#This Row],[EngagementScore]]&lt;=70,"Medium","High"))</f>
        <v>Low</v>
      </c>
      <c r="O489" t="str">
        <f>IF(Table1[[#This Row],[Age]]&lt;25,"18-24",
IF(Table1[[#This Row],[Age]]&lt;35,"25-34",
IF(Table1[[#This Row],[Age]]&lt;45,"35-44","45+")))</f>
        <v>25-34</v>
      </c>
    </row>
    <row r="490" spans="1:15" x14ac:dyDescent="0.25">
      <c r="A490" t="s">
        <v>499</v>
      </c>
      <c r="B490" s="4">
        <v>45371</v>
      </c>
      <c r="D490">
        <v>27</v>
      </c>
      <c r="E490" t="s">
        <v>911</v>
      </c>
      <c r="F490" t="s">
        <v>916</v>
      </c>
      <c r="G490" t="s">
        <v>920</v>
      </c>
      <c r="H490">
        <v>10188.17</v>
      </c>
      <c r="I490">
        <v>10</v>
      </c>
      <c r="J490">
        <v>52</v>
      </c>
      <c r="K490" t="s">
        <v>924</v>
      </c>
      <c r="L490" t="str">
        <f>IF(ISBLANK(Table1[[#This Row],[CancelDate]]),"Active","Churned")</f>
        <v>Active</v>
      </c>
      <c r="M490">
        <f ca="1">IF(ISBLANK(Table1[[#This Row],[CancelDate]]),DATEDIF(Table1[[#This Row],[JoinDate]],TODAY(),"M"),DATEDIF(Table1[[#This Row],[JoinDate]],Table1[[#This Row],[CancelDate]],"M"))</f>
        <v>24</v>
      </c>
      <c r="N490" t="str">
        <f>IF(Table1[[#This Row],[EngagementScore]]&lt;=40,"Low",IF(Table1[[#This Row],[EngagementScore]]&lt;=70,"Medium","High"))</f>
        <v>Medium</v>
      </c>
      <c r="O490" t="str">
        <f>IF(Table1[[#This Row],[Age]]&lt;25,"18-24",
IF(Table1[[#This Row],[Age]]&lt;35,"25-34",
IF(Table1[[#This Row],[Age]]&lt;45,"35-44","45+")))</f>
        <v>25-34</v>
      </c>
    </row>
    <row r="491" spans="1:15" x14ac:dyDescent="0.25">
      <c r="A491" t="s">
        <v>500</v>
      </c>
      <c r="B491" s="4">
        <v>45413</v>
      </c>
      <c r="D491">
        <v>20</v>
      </c>
      <c r="E491" t="s">
        <v>911</v>
      </c>
      <c r="F491" t="s">
        <v>916</v>
      </c>
      <c r="G491" t="s">
        <v>921</v>
      </c>
      <c r="H491">
        <v>8608.7999999999993</v>
      </c>
      <c r="I491">
        <v>10</v>
      </c>
      <c r="J491">
        <v>40</v>
      </c>
      <c r="K491" t="s">
        <v>925</v>
      </c>
      <c r="L491" t="str">
        <f>IF(ISBLANK(Table1[[#This Row],[CancelDate]]),"Active","Churned")</f>
        <v>Active</v>
      </c>
      <c r="M491">
        <f ca="1">IF(ISBLANK(Table1[[#This Row],[CancelDate]]),DATEDIF(Table1[[#This Row],[JoinDate]],TODAY(),"M"),DATEDIF(Table1[[#This Row],[JoinDate]],Table1[[#This Row],[CancelDate]],"M"))</f>
        <v>23</v>
      </c>
      <c r="N491" t="str">
        <f>IF(Table1[[#This Row],[EngagementScore]]&lt;=40,"Low",IF(Table1[[#This Row],[EngagementScore]]&lt;=70,"Medium","High"))</f>
        <v>Low</v>
      </c>
      <c r="O491" t="str">
        <f>IF(Table1[[#This Row],[Age]]&lt;25,"18-24",
IF(Table1[[#This Row],[Age]]&lt;35,"25-34",
IF(Table1[[#This Row],[Age]]&lt;45,"35-44","45+")))</f>
        <v>18-24</v>
      </c>
    </row>
    <row r="492" spans="1:15" x14ac:dyDescent="0.25">
      <c r="A492" t="s">
        <v>501</v>
      </c>
      <c r="B492" s="4">
        <v>45364</v>
      </c>
      <c r="D492">
        <v>51</v>
      </c>
      <c r="E492" t="s">
        <v>913</v>
      </c>
      <c r="F492" t="s">
        <v>916</v>
      </c>
      <c r="G492" t="s">
        <v>921</v>
      </c>
      <c r="H492">
        <v>7209.64</v>
      </c>
      <c r="I492">
        <v>13</v>
      </c>
      <c r="J492">
        <v>50</v>
      </c>
      <c r="K492" t="s">
        <v>923</v>
      </c>
      <c r="L492" t="str">
        <f>IF(ISBLANK(Table1[[#This Row],[CancelDate]]),"Active","Churned")</f>
        <v>Active</v>
      </c>
      <c r="M492">
        <f ca="1">IF(ISBLANK(Table1[[#This Row],[CancelDate]]),DATEDIF(Table1[[#This Row],[JoinDate]],TODAY(),"M"),DATEDIF(Table1[[#This Row],[JoinDate]],Table1[[#This Row],[CancelDate]],"M"))</f>
        <v>24</v>
      </c>
      <c r="N492" t="str">
        <f>IF(Table1[[#This Row],[EngagementScore]]&lt;=40,"Low",IF(Table1[[#This Row],[EngagementScore]]&lt;=70,"Medium","High"))</f>
        <v>Medium</v>
      </c>
      <c r="O492" t="str">
        <f>IF(Table1[[#This Row],[Age]]&lt;25,"18-24",
IF(Table1[[#This Row],[Age]]&lt;35,"25-34",
IF(Table1[[#This Row],[Age]]&lt;45,"35-44","45+")))</f>
        <v>45+</v>
      </c>
    </row>
    <row r="493" spans="1:15" x14ac:dyDescent="0.25">
      <c r="A493" t="s">
        <v>502</v>
      </c>
      <c r="B493" s="4">
        <v>45404</v>
      </c>
      <c r="C493" s="1">
        <v>45576</v>
      </c>
      <c r="D493">
        <v>22</v>
      </c>
      <c r="E493" t="s">
        <v>911</v>
      </c>
      <c r="F493" t="s">
        <v>917</v>
      </c>
      <c r="G493" t="s">
        <v>921</v>
      </c>
      <c r="H493">
        <v>2154.2800000000002</v>
      </c>
      <c r="I493">
        <v>3</v>
      </c>
      <c r="J493">
        <v>10</v>
      </c>
      <c r="K493" t="s">
        <v>923</v>
      </c>
      <c r="L493" t="str">
        <f>IF(ISBLANK(Table1[[#This Row],[CancelDate]]),"Active","Churned")</f>
        <v>Churned</v>
      </c>
      <c r="M493">
        <f ca="1">IF(ISBLANK(Table1[[#This Row],[CancelDate]]),DATEDIF(Table1[[#This Row],[JoinDate]],TODAY(),"M"),DATEDIF(Table1[[#This Row],[JoinDate]],Table1[[#This Row],[CancelDate]],"M"))</f>
        <v>5</v>
      </c>
      <c r="N493" t="str">
        <f>IF(Table1[[#This Row],[EngagementScore]]&lt;=40,"Low",IF(Table1[[#This Row],[EngagementScore]]&lt;=70,"Medium","High"))</f>
        <v>Low</v>
      </c>
      <c r="O493" t="str">
        <f>IF(Table1[[#This Row],[Age]]&lt;25,"18-24",
IF(Table1[[#This Row],[Age]]&lt;35,"25-34",
IF(Table1[[#This Row],[Age]]&lt;45,"35-44","45+")))</f>
        <v>18-24</v>
      </c>
    </row>
    <row r="494" spans="1:15" x14ac:dyDescent="0.25">
      <c r="A494" t="s">
        <v>503</v>
      </c>
      <c r="B494" s="4">
        <v>45398</v>
      </c>
      <c r="C494" s="1">
        <v>45719</v>
      </c>
      <c r="D494">
        <v>20</v>
      </c>
      <c r="E494" t="s">
        <v>911</v>
      </c>
      <c r="F494" t="s">
        <v>918</v>
      </c>
      <c r="G494" t="s">
        <v>921</v>
      </c>
      <c r="H494">
        <v>13164.92</v>
      </c>
      <c r="I494">
        <v>12</v>
      </c>
      <c r="J494">
        <v>99</v>
      </c>
      <c r="K494" t="s">
        <v>923</v>
      </c>
      <c r="L494" t="str">
        <f>IF(ISBLANK(Table1[[#This Row],[CancelDate]]),"Active","Churned")</f>
        <v>Churned</v>
      </c>
      <c r="M494">
        <f ca="1">IF(ISBLANK(Table1[[#This Row],[CancelDate]]),DATEDIF(Table1[[#This Row],[JoinDate]],TODAY(),"M"),DATEDIF(Table1[[#This Row],[JoinDate]],Table1[[#This Row],[CancelDate]],"M"))</f>
        <v>10</v>
      </c>
      <c r="N494" t="str">
        <f>IF(Table1[[#This Row],[EngagementScore]]&lt;=40,"Low",IF(Table1[[#This Row],[EngagementScore]]&lt;=70,"Medium","High"))</f>
        <v>High</v>
      </c>
      <c r="O494" t="str">
        <f>IF(Table1[[#This Row],[Age]]&lt;25,"18-24",
IF(Table1[[#This Row],[Age]]&lt;35,"25-34",
IF(Table1[[#This Row],[Age]]&lt;45,"35-44","45+")))</f>
        <v>18-24</v>
      </c>
    </row>
    <row r="495" spans="1:15" x14ac:dyDescent="0.25">
      <c r="A495" t="s">
        <v>504</v>
      </c>
      <c r="B495" s="4">
        <v>44757</v>
      </c>
      <c r="D495">
        <v>48</v>
      </c>
      <c r="E495" t="s">
        <v>911</v>
      </c>
      <c r="F495" t="s">
        <v>917</v>
      </c>
      <c r="G495" t="s">
        <v>920</v>
      </c>
      <c r="H495">
        <v>5919.07</v>
      </c>
      <c r="I495">
        <v>4</v>
      </c>
      <c r="J495">
        <v>37</v>
      </c>
      <c r="K495" t="s">
        <v>923</v>
      </c>
      <c r="L495" t="str">
        <f>IF(ISBLANK(Table1[[#This Row],[CancelDate]]),"Active","Churned")</f>
        <v>Active</v>
      </c>
      <c r="M495">
        <f ca="1">IF(ISBLANK(Table1[[#This Row],[CancelDate]]),DATEDIF(Table1[[#This Row],[JoinDate]],TODAY(),"M"),DATEDIF(Table1[[#This Row],[JoinDate]],Table1[[#This Row],[CancelDate]],"M"))</f>
        <v>44</v>
      </c>
      <c r="N495" t="str">
        <f>IF(Table1[[#This Row],[EngagementScore]]&lt;=40,"Low",IF(Table1[[#This Row],[EngagementScore]]&lt;=70,"Medium","High"))</f>
        <v>Low</v>
      </c>
      <c r="O495" t="str">
        <f>IF(Table1[[#This Row],[Age]]&lt;25,"18-24",
IF(Table1[[#This Row],[Age]]&lt;35,"25-34",
IF(Table1[[#This Row],[Age]]&lt;45,"35-44","45+")))</f>
        <v>45+</v>
      </c>
    </row>
    <row r="496" spans="1:15" x14ac:dyDescent="0.25">
      <c r="A496" t="s">
        <v>505</v>
      </c>
      <c r="B496" s="4">
        <v>45078</v>
      </c>
      <c r="D496">
        <v>42</v>
      </c>
      <c r="E496" t="s">
        <v>911</v>
      </c>
      <c r="F496" t="s">
        <v>915</v>
      </c>
      <c r="G496" t="s">
        <v>922</v>
      </c>
      <c r="H496">
        <v>12893.89</v>
      </c>
      <c r="I496">
        <v>18</v>
      </c>
      <c r="J496">
        <v>77</v>
      </c>
      <c r="K496" t="s">
        <v>925</v>
      </c>
      <c r="L496" t="str">
        <f>IF(ISBLANK(Table1[[#This Row],[CancelDate]]),"Active","Churned")</f>
        <v>Active</v>
      </c>
      <c r="M496">
        <f ca="1">IF(ISBLANK(Table1[[#This Row],[CancelDate]]),DATEDIF(Table1[[#This Row],[JoinDate]],TODAY(),"M"),DATEDIF(Table1[[#This Row],[JoinDate]],Table1[[#This Row],[CancelDate]],"M"))</f>
        <v>34</v>
      </c>
      <c r="N496" t="str">
        <f>IF(Table1[[#This Row],[EngagementScore]]&lt;=40,"Low",IF(Table1[[#This Row],[EngagementScore]]&lt;=70,"Medium","High"))</f>
        <v>High</v>
      </c>
      <c r="O496" t="str">
        <f>IF(Table1[[#This Row],[Age]]&lt;25,"18-24",
IF(Table1[[#This Row],[Age]]&lt;35,"25-34",
IF(Table1[[#This Row],[Age]]&lt;45,"35-44","45+")))</f>
        <v>35-44</v>
      </c>
    </row>
    <row r="497" spans="1:15" x14ac:dyDescent="0.25">
      <c r="A497" t="s">
        <v>506</v>
      </c>
      <c r="B497" s="4">
        <v>45178</v>
      </c>
      <c r="D497">
        <v>23</v>
      </c>
      <c r="E497" t="s">
        <v>912</v>
      </c>
      <c r="F497" t="s">
        <v>914</v>
      </c>
      <c r="G497" t="s">
        <v>921</v>
      </c>
      <c r="H497">
        <v>2429.63</v>
      </c>
      <c r="I497">
        <v>3</v>
      </c>
      <c r="J497">
        <v>29</v>
      </c>
      <c r="K497" t="s">
        <v>923</v>
      </c>
      <c r="L497" t="str">
        <f>IF(ISBLANK(Table1[[#This Row],[CancelDate]]),"Active","Churned")</f>
        <v>Active</v>
      </c>
      <c r="M497">
        <f ca="1">IF(ISBLANK(Table1[[#This Row],[CancelDate]]),DATEDIF(Table1[[#This Row],[JoinDate]],TODAY(),"M"),DATEDIF(Table1[[#This Row],[JoinDate]],Table1[[#This Row],[CancelDate]],"M"))</f>
        <v>30</v>
      </c>
      <c r="N497" t="str">
        <f>IF(Table1[[#This Row],[EngagementScore]]&lt;=40,"Low",IF(Table1[[#This Row],[EngagementScore]]&lt;=70,"Medium","High"))</f>
        <v>Low</v>
      </c>
      <c r="O497" t="str">
        <f>IF(Table1[[#This Row],[Age]]&lt;25,"18-24",
IF(Table1[[#This Row],[Age]]&lt;35,"25-34",
IF(Table1[[#This Row],[Age]]&lt;45,"35-44","45+")))</f>
        <v>18-24</v>
      </c>
    </row>
    <row r="498" spans="1:15" x14ac:dyDescent="0.25">
      <c r="A498" t="s">
        <v>507</v>
      </c>
      <c r="B498" s="4">
        <v>44697</v>
      </c>
      <c r="C498" s="1">
        <v>44827</v>
      </c>
      <c r="D498">
        <v>20</v>
      </c>
      <c r="E498" t="s">
        <v>912</v>
      </c>
      <c r="F498" t="s">
        <v>916</v>
      </c>
      <c r="G498" t="s">
        <v>921</v>
      </c>
      <c r="H498">
        <v>5724.58</v>
      </c>
      <c r="I498">
        <v>4</v>
      </c>
      <c r="J498">
        <v>32</v>
      </c>
      <c r="K498" t="s">
        <v>925</v>
      </c>
      <c r="L498" t="str">
        <f>IF(ISBLANK(Table1[[#This Row],[CancelDate]]),"Active","Churned")</f>
        <v>Churned</v>
      </c>
      <c r="M498">
        <f ca="1">IF(ISBLANK(Table1[[#This Row],[CancelDate]]),DATEDIF(Table1[[#This Row],[JoinDate]],TODAY(),"M"),DATEDIF(Table1[[#This Row],[JoinDate]],Table1[[#This Row],[CancelDate]],"M"))</f>
        <v>4</v>
      </c>
      <c r="N498" t="str">
        <f>IF(Table1[[#This Row],[EngagementScore]]&lt;=40,"Low",IF(Table1[[#This Row],[EngagementScore]]&lt;=70,"Medium","High"))</f>
        <v>Low</v>
      </c>
      <c r="O498" t="str">
        <f>IF(Table1[[#This Row],[Age]]&lt;25,"18-24",
IF(Table1[[#This Row],[Age]]&lt;35,"25-34",
IF(Table1[[#This Row],[Age]]&lt;45,"35-44","45+")))</f>
        <v>18-24</v>
      </c>
    </row>
    <row r="499" spans="1:15" x14ac:dyDescent="0.25">
      <c r="A499" t="s">
        <v>508</v>
      </c>
      <c r="B499" s="4">
        <v>44796</v>
      </c>
      <c r="C499" s="1">
        <v>45107</v>
      </c>
      <c r="D499">
        <v>26</v>
      </c>
      <c r="E499" t="s">
        <v>912</v>
      </c>
      <c r="F499" t="s">
        <v>914</v>
      </c>
      <c r="G499" t="s">
        <v>922</v>
      </c>
      <c r="H499">
        <v>6386.21</v>
      </c>
      <c r="I499">
        <v>1</v>
      </c>
      <c r="J499">
        <v>35</v>
      </c>
      <c r="K499" t="s">
        <v>925</v>
      </c>
      <c r="L499" t="str">
        <f>IF(ISBLANK(Table1[[#This Row],[CancelDate]]),"Active","Churned")</f>
        <v>Churned</v>
      </c>
      <c r="M499">
        <f ca="1">IF(ISBLANK(Table1[[#This Row],[CancelDate]]),DATEDIF(Table1[[#This Row],[JoinDate]],TODAY(),"M"),DATEDIF(Table1[[#This Row],[JoinDate]],Table1[[#This Row],[CancelDate]],"M"))</f>
        <v>10</v>
      </c>
      <c r="N499" t="str">
        <f>IF(Table1[[#This Row],[EngagementScore]]&lt;=40,"Low",IF(Table1[[#This Row],[EngagementScore]]&lt;=70,"Medium","High"))</f>
        <v>Low</v>
      </c>
      <c r="O499" t="str">
        <f>IF(Table1[[#This Row],[Age]]&lt;25,"18-24",
IF(Table1[[#This Row],[Age]]&lt;35,"25-34",
IF(Table1[[#This Row],[Age]]&lt;45,"35-44","45+")))</f>
        <v>25-34</v>
      </c>
    </row>
    <row r="500" spans="1:15" x14ac:dyDescent="0.25">
      <c r="A500" t="s">
        <v>509</v>
      </c>
      <c r="B500" s="4">
        <v>45388</v>
      </c>
      <c r="C500" s="1">
        <v>45616</v>
      </c>
      <c r="D500">
        <v>20</v>
      </c>
      <c r="E500" t="s">
        <v>912</v>
      </c>
      <c r="F500" t="s">
        <v>919</v>
      </c>
      <c r="G500" t="s">
        <v>921</v>
      </c>
      <c r="H500">
        <v>7847.6</v>
      </c>
      <c r="I500">
        <v>7</v>
      </c>
      <c r="J500">
        <v>34</v>
      </c>
      <c r="K500" t="s">
        <v>913</v>
      </c>
      <c r="L500" t="str">
        <f>IF(ISBLANK(Table1[[#This Row],[CancelDate]]),"Active","Churned")</f>
        <v>Churned</v>
      </c>
      <c r="M500">
        <f ca="1">IF(ISBLANK(Table1[[#This Row],[CancelDate]]),DATEDIF(Table1[[#This Row],[JoinDate]],TODAY(),"M"),DATEDIF(Table1[[#This Row],[JoinDate]],Table1[[#This Row],[CancelDate]],"M"))</f>
        <v>7</v>
      </c>
      <c r="N500" t="str">
        <f>IF(Table1[[#This Row],[EngagementScore]]&lt;=40,"Low",IF(Table1[[#This Row],[EngagementScore]]&lt;=70,"Medium","High"))</f>
        <v>Low</v>
      </c>
      <c r="O500" t="str">
        <f>IF(Table1[[#This Row],[Age]]&lt;25,"18-24",
IF(Table1[[#This Row],[Age]]&lt;35,"25-34",
IF(Table1[[#This Row],[Age]]&lt;45,"35-44","45+")))</f>
        <v>18-24</v>
      </c>
    </row>
    <row r="501" spans="1:15" x14ac:dyDescent="0.25">
      <c r="A501" t="s">
        <v>510</v>
      </c>
      <c r="B501" s="4">
        <v>45186</v>
      </c>
      <c r="D501">
        <v>42</v>
      </c>
      <c r="E501" t="s">
        <v>912</v>
      </c>
      <c r="F501" t="s">
        <v>915</v>
      </c>
      <c r="G501" t="s">
        <v>922</v>
      </c>
      <c r="H501">
        <v>13755.47</v>
      </c>
      <c r="I501">
        <v>10</v>
      </c>
      <c r="J501">
        <v>67</v>
      </c>
      <c r="K501" t="s">
        <v>924</v>
      </c>
      <c r="L501" t="str">
        <f>IF(ISBLANK(Table1[[#This Row],[CancelDate]]),"Active","Churned")</f>
        <v>Active</v>
      </c>
      <c r="M501">
        <f ca="1">IF(ISBLANK(Table1[[#This Row],[CancelDate]]),DATEDIF(Table1[[#This Row],[JoinDate]],TODAY(),"M"),DATEDIF(Table1[[#This Row],[JoinDate]],Table1[[#This Row],[CancelDate]],"M"))</f>
        <v>30</v>
      </c>
      <c r="N501" t="str">
        <f>IF(Table1[[#This Row],[EngagementScore]]&lt;=40,"Low",IF(Table1[[#This Row],[EngagementScore]]&lt;=70,"Medium","High"))</f>
        <v>Medium</v>
      </c>
      <c r="O501" t="str">
        <f>IF(Table1[[#This Row],[Age]]&lt;25,"18-24",
IF(Table1[[#This Row],[Age]]&lt;35,"25-34",
IF(Table1[[#This Row],[Age]]&lt;45,"35-44","45+")))</f>
        <v>35-44</v>
      </c>
    </row>
    <row r="502" spans="1:15" x14ac:dyDescent="0.25">
      <c r="A502" t="s">
        <v>511</v>
      </c>
      <c r="B502" s="4">
        <v>44820</v>
      </c>
      <c r="D502">
        <v>42</v>
      </c>
      <c r="E502" t="s">
        <v>912</v>
      </c>
      <c r="F502" t="s">
        <v>917</v>
      </c>
      <c r="G502" t="s">
        <v>922</v>
      </c>
      <c r="H502">
        <v>15252.53</v>
      </c>
      <c r="I502">
        <v>17</v>
      </c>
      <c r="J502">
        <v>78</v>
      </c>
      <c r="K502" t="s">
        <v>923</v>
      </c>
      <c r="L502" t="str">
        <f>IF(ISBLANK(Table1[[#This Row],[CancelDate]]),"Active","Churned")</f>
        <v>Active</v>
      </c>
      <c r="M502">
        <f ca="1">IF(ISBLANK(Table1[[#This Row],[CancelDate]]),DATEDIF(Table1[[#This Row],[JoinDate]],TODAY(),"M"),DATEDIF(Table1[[#This Row],[JoinDate]],Table1[[#This Row],[CancelDate]],"M"))</f>
        <v>42</v>
      </c>
      <c r="N502" t="str">
        <f>IF(Table1[[#This Row],[EngagementScore]]&lt;=40,"Low",IF(Table1[[#This Row],[EngagementScore]]&lt;=70,"Medium","High"))</f>
        <v>High</v>
      </c>
      <c r="O502" t="str">
        <f>IF(Table1[[#This Row],[Age]]&lt;25,"18-24",
IF(Table1[[#This Row],[Age]]&lt;35,"25-34",
IF(Table1[[#This Row],[Age]]&lt;45,"35-44","45+")))</f>
        <v>35-44</v>
      </c>
    </row>
    <row r="503" spans="1:15" x14ac:dyDescent="0.25">
      <c r="A503" t="s">
        <v>512</v>
      </c>
      <c r="B503" s="4">
        <v>45369</v>
      </c>
      <c r="C503" s="1">
        <v>45714</v>
      </c>
      <c r="D503">
        <v>56</v>
      </c>
      <c r="E503" t="s">
        <v>912</v>
      </c>
      <c r="F503" t="s">
        <v>917</v>
      </c>
      <c r="G503" t="s">
        <v>922</v>
      </c>
      <c r="H503">
        <v>4184.84</v>
      </c>
      <c r="I503">
        <v>6</v>
      </c>
      <c r="J503">
        <v>20</v>
      </c>
      <c r="K503" t="s">
        <v>923</v>
      </c>
      <c r="L503" t="str">
        <f>IF(ISBLANK(Table1[[#This Row],[CancelDate]]),"Active","Churned")</f>
        <v>Churned</v>
      </c>
      <c r="M503">
        <f ca="1">IF(ISBLANK(Table1[[#This Row],[CancelDate]]),DATEDIF(Table1[[#This Row],[JoinDate]],TODAY(),"M"),DATEDIF(Table1[[#This Row],[JoinDate]],Table1[[#This Row],[CancelDate]],"M"))</f>
        <v>11</v>
      </c>
      <c r="N503" t="str">
        <f>IF(Table1[[#This Row],[EngagementScore]]&lt;=40,"Low",IF(Table1[[#This Row],[EngagementScore]]&lt;=70,"Medium","High"))</f>
        <v>Low</v>
      </c>
      <c r="O503" t="str">
        <f>IF(Table1[[#This Row],[Age]]&lt;25,"18-24",
IF(Table1[[#This Row],[Age]]&lt;35,"25-34",
IF(Table1[[#This Row],[Age]]&lt;45,"35-44","45+")))</f>
        <v>45+</v>
      </c>
    </row>
    <row r="504" spans="1:15" x14ac:dyDescent="0.25">
      <c r="A504" t="s">
        <v>513</v>
      </c>
      <c r="B504" s="4">
        <v>45404</v>
      </c>
      <c r="C504" s="1">
        <v>45661</v>
      </c>
      <c r="D504">
        <v>28</v>
      </c>
      <c r="E504" t="s">
        <v>912</v>
      </c>
      <c r="F504" t="s">
        <v>915</v>
      </c>
      <c r="G504" t="s">
        <v>922</v>
      </c>
      <c r="H504">
        <v>14915.62</v>
      </c>
      <c r="I504">
        <v>12</v>
      </c>
      <c r="J504">
        <v>51</v>
      </c>
      <c r="K504" t="s">
        <v>924</v>
      </c>
      <c r="L504" t="str">
        <f>IF(ISBLANK(Table1[[#This Row],[CancelDate]]),"Active","Churned")</f>
        <v>Churned</v>
      </c>
      <c r="M504">
        <f ca="1">IF(ISBLANK(Table1[[#This Row],[CancelDate]]),DATEDIF(Table1[[#This Row],[JoinDate]],TODAY(),"M"),DATEDIF(Table1[[#This Row],[JoinDate]],Table1[[#This Row],[CancelDate]],"M"))</f>
        <v>8</v>
      </c>
      <c r="N504" t="str">
        <f>IF(Table1[[#This Row],[EngagementScore]]&lt;=40,"Low",IF(Table1[[#This Row],[EngagementScore]]&lt;=70,"Medium","High"))</f>
        <v>Medium</v>
      </c>
      <c r="O504" t="str">
        <f>IF(Table1[[#This Row],[Age]]&lt;25,"18-24",
IF(Table1[[#This Row],[Age]]&lt;35,"25-34",
IF(Table1[[#This Row],[Age]]&lt;45,"35-44","45+")))</f>
        <v>25-34</v>
      </c>
    </row>
    <row r="505" spans="1:15" x14ac:dyDescent="0.25">
      <c r="A505" t="s">
        <v>514</v>
      </c>
      <c r="B505" s="4">
        <v>44634</v>
      </c>
      <c r="D505">
        <v>43</v>
      </c>
      <c r="E505" t="s">
        <v>911</v>
      </c>
      <c r="F505" t="s">
        <v>916</v>
      </c>
      <c r="G505" t="s">
        <v>922</v>
      </c>
      <c r="H505">
        <v>5323.27</v>
      </c>
      <c r="I505">
        <v>2</v>
      </c>
      <c r="J505">
        <v>37</v>
      </c>
      <c r="K505" t="s">
        <v>925</v>
      </c>
      <c r="L505" t="str">
        <f>IF(ISBLANK(Table1[[#This Row],[CancelDate]]),"Active","Churned")</f>
        <v>Active</v>
      </c>
      <c r="M505">
        <f ca="1">IF(ISBLANK(Table1[[#This Row],[CancelDate]]),DATEDIF(Table1[[#This Row],[JoinDate]],TODAY(),"M"),DATEDIF(Table1[[#This Row],[JoinDate]],Table1[[#This Row],[CancelDate]],"M"))</f>
        <v>48</v>
      </c>
      <c r="N505" t="str">
        <f>IF(Table1[[#This Row],[EngagementScore]]&lt;=40,"Low",IF(Table1[[#This Row],[EngagementScore]]&lt;=70,"Medium","High"))</f>
        <v>Low</v>
      </c>
      <c r="O505" t="str">
        <f>IF(Table1[[#This Row],[Age]]&lt;25,"18-24",
IF(Table1[[#This Row],[Age]]&lt;35,"25-34",
IF(Table1[[#This Row],[Age]]&lt;45,"35-44","45+")))</f>
        <v>35-44</v>
      </c>
    </row>
    <row r="506" spans="1:15" x14ac:dyDescent="0.25">
      <c r="A506" t="s">
        <v>515</v>
      </c>
      <c r="B506" s="4">
        <v>45423</v>
      </c>
      <c r="C506" s="1">
        <v>45565</v>
      </c>
      <c r="D506">
        <v>25</v>
      </c>
      <c r="E506" t="s">
        <v>911</v>
      </c>
      <c r="F506" t="s">
        <v>919</v>
      </c>
      <c r="G506" t="s">
        <v>921</v>
      </c>
      <c r="H506">
        <v>11962.94</v>
      </c>
      <c r="I506">
        <v>11</v>
      </c>
      <c r="J506">
        <v>45</v>
      </c>
      <c r="K506" t="s">
        <v>925</v>
      </c>
      <c r="L506" t="str">
        <f>IF(ISBLANK(Table1[[#This Row],[CancelDate]]),"Active","Churned")</f>
        <v>Churned</v>
      </c>
      <c r="M506">
        <f ca="1">IF(ISBLANK(Table1[[#This Row],[CancelDate]]),DATEDIF(Table1[[#This Row],[JoinDate]],TODAY(),"M"),DATEDIF(Table1[[#This Row],[JoinDate]],Table1[[#This Row],[CancelDate]],"M"))</f>
        <v>4</v>
      </c>
      <c r="N506" t="str">
        <f>IF(Table1[[#This Row],[EngagementScore]]&lt;=40,"Low",IF(Table1[[#This Row],[EngagementScore]]&lt;=70,"Medium","High"))</f>
        <v>Medium</v>
      </c>
      <c r="O506" t="str">
        <f>IF(Table1[[#This Row],[Age]]&lt;25,"18-24",
IF(Table1[[#This Row],[Age]]&lt;35,"25-34",
IF(Table1[[#This Row],[Age]]&lt;45,"35-44","45+")))</f>
        <v>25-34</v>
      </c>
    </row>
    <row r="507" spans="1:15" x14ac:dyDescent="0.25">
      <c r="A507" t="s">
        <v>516</v>
      </c>
      <c r="B507" s="4">
        <v>45078</v>
      </c>
      <c r="D507">
        <v>41</v>
      </c>
      <c r="E507" t="s">
        <v>912</v>
      </c>
      <c r="F507" t="s">
        <v>914</v>
      </c>
      <c r="G507" t="s">
        <v>922</v>
      </c>
      <c r="H507">
        <v>14060.57</v>
      </c>
      <c r="I507">
        <v>7</v>
      </c>
      <c r="J507">
        <v>67</v>
      </c>
      <c r="K507" t="s">
        <v>925</v>
      </c>
      <c r="L507" t="str">
        <f>IF(ISBLANK(Table1[[#This Row],[CancelDate]]),"Active","Churned")</f>
        <v>Active</v>
      </c>
      <c r="M507">
        <f ca="1">IF(ISBLANK(Table1[[#This Row],[CancelDate]]),DATEDIF(Table1[[#This Row],[JoinDate]],TODAY(),"M"),DATEDIF(Table1[[#This Row],[JoinDate]],Table1[[#This Row],[CancelDate]],"M"))</f>
        <v>34</v>
      </c>
      <c r="N507" t="str">
        <f>IF(Table1[[#This Row],[EngagementScore]]&lt;=40,"Low",IF(Table1[[#This Row],[EngagementScore]]&lt;=70,"Medium","High"))</f>
        <v>Medium</v>
      </c>
      <c r="O507" t="str">
        <f>IF(Table1[[#This Row],[Age]]&lt;25,"18-24",
IF(Table1[[#This Row],[Age]]&lt;35,"25-34",
IF(Table1[[#This Row],[Age]]&lt;45,"35-44","45+")))</f>
        <v>35-44</v>
      </c>
    </row>
    <row r="508" spans="1:15" x14ac:dyDescent="0.25">
      <c r="A508" t="s">
        <v>517</v>
      </c>
      <c r="B508" s="4">
        <v>45074</v>
      </c>
      <c r="C508" s="1">
        <v>45325</v>
      </c>
      <c r="D508">
        <v>37</v>
      </c>
      <c r="E508" t="s">
        <v>911</v>
      </c>
      <c r="F508" t="s">
        <v>915</v>
      </c>
      <c r="G508" t="s">
        <v>922</v>
      </c>
      <c r="H508">
        <v>5850.69</v>
      </c>
      <c r="I508">
        <v>6</v>
      </c>
      <c r="J508">
        <v>31</v>
      </c>
      <c r="K508" t="s">
        <v>924</v>
      </c>
      <c r="L508" t="str">
        <f>IF(ISBLANK(Table1[[#This Row],[CancelDate]]),"Active","Churned")</f>
        <v>Churned</v>
      </c>
      <c r="M508">
        <f ca="1">IF(ISBLANK(Table1[[#This Row],[CancelDate]]),DATEDIF(Table1[[#This Row],[JoinDate]],TODAY(),"M"),DATEDIF(Table1[[#This Row],[JoinDate]],Table1[[#This Row],[CancelDate]],"M"))</f>
        <v>8</v>
      </c>
      <c r="N508" t="str">
        <f>IF(Table1[[#This Row],[EngagementScore]]&lt;=40,"Low",IF(Table1[[#This Row],[EngagementScore]]&lt;=70,"Medium","High"))</f>
        <v>Low</v>
      </c>
      <c r="O508" t="str">
        <f>IF(Table1[[#This Row],[Age]]&lt;25,"18-24",
IF(Table1[[#This Row],[Age]]&lt;35,"25-34",
IF(Table1[[#This Row],[Age]]&lt;45,"35-44","45+")))</f>
        <v>35-44</v>
      </c>
    </row>
    <row r="509" spans="1:15" x14ac:dyDescent="0.25">
      <c r="A509" t="s">
        <v>518</v>
      </c>
      <c r="B509" s="4">
        <v>45254</v>
      </c>
      <c r="C509" s="1">
        <v>45565</v>
      </c>
      <c r="D509">
        <v>20</v>
      </c>
      <c r="E509" t="s">
        <v>911</v>
      </c>
      <c r="F509" t="s">
        <v>915</v>
      </c>
      <c r="G509" t="s">
        <v>922</v>
      </c>
      <c r="H509">
        <v>27309.119999999999</v>
      </c>
      <c r="I509">
        <v>29</v>
      </c>
      <c r="J509">
        <v>83</v>
      </c>
      <c r="K509" t="s">
        <v>913</v>
      </c>
      <c r="L509" t="str">
        <f>IF(ISBLANK(Table1[[#This Row],[CancelDate]]),"Active","Churned")</f>
        <v>Churned</v>
      </c>
      <c r="M509">
        <f ca="1">IF(ISBLANK(Table1[[#This Row],[CancelDate]]),DATEDIF(Table1[[#This Row],[JoinDate]],TODAY(),"M"),DATEDIF(Table1[[#This Row],[JoinDate]],Table1[[#This Row],[CancelDate]],"M"))</f>
        <v>10</v>
      </c>
      <c r="N509" t="str">
        <f>IF(Table1[[#This Row],[EngagementScore]]&lt;=40,"Low",IF(Table1[[#This Row],[EngagementScore]]&lt;=70,"Medium","High"))</f>
        <v>High</v>
      </c>
      <c r="O509" t="str">
        <f>IF(Table1[[#This Row],[Age]]&lt;25,"18-24",
IF(Table1[[#This Row],[Age]]&lt;35,"25-34",
IF(Table1[[#This Row],[Age]]&lt;45,"35-44","45+")))</f>
        <v>18-24</v>
      </c>
    </row>
    <row r="510" spans="1:15" x14ac:dyDescent="0.25">
      <c r="A510" t="s">
        <v>519</v>
      </c>
      <c r="B510" s="4">
        <v>45187</v>
      </c>
      <c r="D510">
        <v>27</v>
      </c>
      <c r="E510" t="s">
        <v>912</v>
      </c>
      <c r="F510" t="s">
        <v>917</v>
      </c>
      <c r="G510" t="s">
        <v>921</v>
      </c>
      <c r="H510">
        <v>19695.8</v>
      </c>
      <c r="I510">
        <v>19</v>
      </c>
      <c r="J510">
        <v>98</v>
      </c>
      <c r="K510" t="s">
        <v>925</v>
      </c>
      <c r="L510" t="str">
        <f>IF(ISBLANK(Table1[[#This Row],[CancelDate]]),"Active","Churned")</f>
        <v>Active</v>
      </c>
      <c r="M510">
        <f ca="1">IF(ISBLANK(Table1[[#This Row],[CancelDate]]),DATEDIF(Table1[[#This Row],[JoinDate]],TODAY(),"M"),DATEDIF(Table1[[#This Row],[JoinDate]],Table1[[#This Row],[CancelDate]],"M"))</f>
        <v>30</v>
      </c>
      <c r="N510" t="str">
        <f>IF(Table1[[#This Row],[EngagementScore]]&lt;=40,"Low",IF(Table1[[#This Row],[EngagementScore]]&lt;=70,"Medium","High"))</f>
        <v>High</v>
      </c>
      <c r="O510" t="str">
        <f>IF(Table1[[#This Row],[Age]]&lt;25,"18-24",
IF(Table1[[#This Row],[Age]]&lt;35,"25-34",
IF(Table1[[#This Row],[Age]]&lt;45,"35-44","45+")))</f>
        <v>25-34</v>
      </c>
    </row>
    <row r="511" spans="1:15" x14ac:dyDescent="0.25">
      <c r="A511" t="s">
        <v>520</v>
      </c>
      <c r="B511" s="4">
        <v>45094</v>
      </c>
      <c r="C511" s="1">
        <v>45373</v>
      </c>
      <c r="D511">
        <v>55</v>
      </c>
      <c r="E511" t="s">
        <v>911</v>
      </c>
      <c r="F511" t="s">
        <v>916</v>
      </c>
      <c r="G511" t="s">
        <v>921</v>
      </c>
      <c r="H511">
        <v>6048.24</v>
      </c>
      <c r="I511">
        <v>9</v>
      </c>
      <c r="J511">
        <v>46</v>
      </c>
      <c r="K511" t="s">
        <v>913</v>
      </c>
      <c r="L511" t="str">
        <f>IF(ISBLANK(Table1[[#This Row],[CancelDate]]),"Active","Churned")</f>
        <v>Churned</v>
      </c>
      <c r="M511">
        <f ca="1">IF(ISBLANK(Table1[[#This Row],[CancelDate]]),DATEDIF(Table1[[#This Row],[JoinDate]],TODAY(),"M"),DATEDIF(Table1[[#This Row],[JoinDate]],Table1[[#This Row],[CancelDate]],"M"))</f>
        <v>9</v>
      </c>
      <c r="N511" t="str">
        <f>IF(Table1[[#This Row],[EngagementScore]]&lt;=40,"Low",IF(Table1[[#This Row],[EngagementScore]]&lt;=70,"Medium","High"))</f>
        <v>Medium</v>
      </c>
      <c r="O511" t="str">
        <f>IF(Table1[[#This Row],[Age]]&lt;25,"18-24",
IF(Table1[[#This Row],[Age]]&lt;35,"25-34",
IF(Table1[[#This Row],[Age]]&lt;45,"35-44","45+")))</f>
        <v>45+</v>
      </c>
    </row>
    <row r="512" spans="1:15" x14ac:dyDescent="0.25">
      <c r="A512" t="s">
        <v>521</v>
      </c>
      <c r="B512" s="4">
        <v>45198</v>
      </c>
      <c r="C512" s="1">
        <v>45323</v>
      </c>
      <c r="D512">
        <v>39</v>
      </c>
      <c r="E512" t="s">
        <v>911</v>
      </c>
      <c r="F512" t="s">
        <v>917</v>
      </c>
      <c r="G512" t="s">
        <v>922</v>
      </c>
      <c r="H512">
        <v>2952.11</v>
      </c>
      <c r="I512">
        <v>6</v>
      </c>
      <c r="J512">
        <v>18</v>
      </c>
      <c r="K512" t="s">
        <v>923</v>
      </c>
      <c r="L512" t="str">
        <f>IF(ISBLANK(Table1[[#This Row],[CancelDate]]),"Active","Churned")</f>
        <v>Churned</v>
      </c>
      <c r="M512">
        <f ca="1">IF(ISBLANK(Table1[[#This Row],[CancelDate]]),DATEDIF(Table1[[#This Row],[JoinDate]],TODAY(),"M"),DATEDIF(Table1[[#This Row],[JoinDate]],Table1[[#This Row],[CancelDate]],"M"))</f>
        <v>4</v>
      </c>
      <c r="N512" t="str">
        <f>IF(Table1[[#This Row],[EngagementScore]]&lt;=40,"Low",IF(Table1[[#This Row],[EngagementScore]]&lt;=70,"Medium","High"))</f>
        <v>Low</v>
      </c>
      <c r="O512" t="str">
        <f>IF(Table1[[#This Row],[Age]]&lt;25,"18-24",
IF(Table1[[#This Row],[Age]]&lt;35,"25-34",
IF(Table1[[#This Row],[Age]]&lt;45,"35-44","45+")))</f>
        <v>35-44</v>
      </c>
    </row>
    <row r="513" spans="1:15" x14ac:dyDescent="0.25">
      <c r="A513" t="s">
        <v>522</v>
      </c>
      <c r="B513" s="4">
        <v>45039</v>
      </c>
      <c r="D513">
        <v>26</v>
      </c>
      <c r="E513" t="s">
        <v>912</v>
      </c>
      <c r="F513" t="s">
        <v>917</v>
      </c>
      <c r="G513" t="s">
        <v>922</v>
      </c>
      <c r="H513">
        <v>29774.67</v>
      </c>
      <c r="I513">
        <v>27</v>
      </c>
      <c r="J513">
        <v>97</v>
      </c>
      <c r="K513" t="s">
        <v>923</v>
      </c>
      <c r="L513" t="str">
        <f>IF(ISBLANK(Table1[[#This Row],[CancelDate]]),"Active","Churned")</f>
        <v>Active</v>
      </c>
      <c r="M513">
        <f ca="1">IF(ISBLANK(Table1[[#This Row],[CancelDate]]),DATEDIF(Table1[[#This Row],[JoinDate]],TODAY(),"M"),DATEDIF(Table1[[#This Row],[JoinDate]],Table1[[#This Row],[CancelDate]],"M"))</f>
        <v>35</v>
      </c>
      <c r="N513" t="str">
        <f>IF(Table1[[#This Row],[EngagementScore]]&lt;=40,"Low",IF(Table1[[#This Row],[EngagementScore]]&lt;=70,"Medium","High"))</f>
        <v>High</v>
      </c>
      <c r="O513" t="str">
        <f>IF(Table1[[#This Row],[Age]]&lt;25,"18-24",
IF(Table1[[#This Row],[Age]]&lt;35,"25-34",
IF(Table1[[#This Row],[Age]]&lt;45,"35-44","45+")))</f>
        <v>25-34</v>
      </c>
    </row>
    <row r="514" spans="1:15" x14ac:dyDescent="0.25">
      <c r="A514" t="s">
        <v>523</v>
      </c>
      <c r="B514" s="4">
        <v>45451</v>
      </c>
      <c r="D514">
        <v>49</v>
      </c>
      <c r="E514" t="s">
        <v>912</v>
      </c>
      <c r="F514" t="s">
        <v>918</v>
      </c>
      <c r="G514" t="s">
        <v>921</v>
      </c>
      <c r="H514">
        <v>19717.79</v>
      </c>
      <c r="I514">
        <v>25</v>
      </c>
      <c r="J514">
        <v>75</v>
      </c>
      <c r="K514" t="s">
        <v>925</v>
      </c>
      <c r="L514" t="str">
        <f>IF(ISBLANK(Table1[[#This Row],[CancelDate]]),"Active","Churned")</f>
        <v>Active</v>
      </c>
      <c r="M514">
        <f ca="1">IF(ISBLANK(Table1[[#This Row],[CancelDate]]),DATEDIF(Table1[[#This Row],[JoinDate]],TODAY(),"M"),DATEDIF(Table1[[#This Row],[JoinDate]],Table1[[#This Row],[CancelDate]],"M"))</f>
        <v>21</v>
      </c>
      <c r="N514" t="str">
        <f>IF(Table1[[#This Row],[EngagementScore]]&lt;=40,"Low",IF(Table1[[#This Row],[EngagementScore]]&lt;=70,"Medium","High"))</f>
        <v>High</v>
      </c>
      <c r="O514" t="str">
        <f>IF(Table1[[#This Row],[Age]]&lt;25,"18-24",
IF(Table1[[#This Row],[Age]]&lt;35,"25-34",
IF(Table1[[#This Row],[Age]]&lt;45,"35-44","45+")))</f>
        <v>45+</v>
      </c>
    </row>
    <row r="515" spans="1:15" x14ac:dyDescent="0.25">
      <c r="A515" t="s">
        <v>524</v>
      </c>
      <c r="B515" s="4">
        <v>45105</v>
      </c>
      <c r="D515">
        <v>45</v>
      </c>
      <c r="E515" t="s">
        <v>911</v>
      </c>
      <c r="F515" t="s">
        <v>918</v>
      </c>
      <c r="G515" t="s">
        <v>922</v>
      </c>
      <c r="H515">
        <v>4201.3999999999996</v>
      </c>
      <c r="I515">
        <v>7</v>
      </c>
      <c r="J515">
        <v>11</v>
      </c>
      <c r="K515" t="s">
        <v>923</v>
      </c>
      <c r="L515" t="str">
        <f>IF(ISBLANK(Table1[[#This Row],[CancelDate]]),"Active","Churned")</f>
        <v>Active</v>
      </c>
      <c r="M515">
        <f ca="1">IF(ISBLANK(Table1[[#This Row],[CancelDate]]),DATEDIF(Table1[[#This Row],[JoinDate]],TODAY(),"M"),DATEDIF(Table1[[#This Row],[JoinDate]],Table1[[#This Row],[CancelDate]],"M"))</f>
        <v>33</v>
      </c>
      <c r="N515" t="str">
        <f>IF(Table1[[#This Row],[EngagementScore]]&lt;=40,"Low",IF(Table1[[#This Row],[EngagementScore]]&lt;=70,"Medium","High"))</f>
        <v>Low</v>
      </c>
      <c r="O515" t="str">
        <f>IF(Table1[[#This Row],[Age]]&lt;25,"18-24",
IF(Table1[[#This Row],[Age]]&lt;35,"25-34",
IF(Table1[[#This Row],[Age]]&lt;45,"35-44","45+")))</f>
        <v>45+</v>
      </c>
    </row>
    <row r="516" spans="1:15" x14ac:dyDescent="0.25">
      <c r="A516" t="s">
        <v>525</v>
      </c>
      <c r="B516" s="4">
        <v>44930</v>
      </c>
      <c r="C516" s="1">
        <v>45236</v>
      </c>
      <c r="D516">
        <v>20</v>
      </c>
      <c r="E516" t="s">
        <v>911</v>
      </c>
      <c r="F516" t="s">
        <v>915</v>
      </c>
      <c r="G516" t="s">
        <v>921</v>
      </c>
      <c r="H516">
        <v>5901.83</v>
      </c>
      <c r="I516">
        <v>7</v>
      </c>
      <c r="J516">
        <v>20</v>
      </c>
      <c r="K516" t="s">
        <v>925</v>
      </c>
      <c r="L516" t="str">
        <f>IF(ISBLANK(Table1[[#This Row],[CancelDate]]),"Active","Churned")</f>
        <v>Churned</v>
      </c>
      <c r="M516">
        <f ca="1">IF(ISBLANK(Table1[[#This Row],[CancelDate]]),DATEDIF(Table1[[#This Row],[JoinDate]],TODAY(),"M"),DATEDIF(Table1[[#This Row],[JoinDate]],Table1[[#This Row],[CancelDate]],"M"))</f>
        <v>10</v>
      </c>
      <c r="N516" t="str">
        <f>IF(Table1[[#This Row],[EngagementScore]]&lt;=40,"Low",IF(Table1[[#This Row],[EngagementScore]]&lt;=70,"Medium","High"))</f>
        <v>Low</v>
      </c>
      <c r="O516" t="str">
        <f>IF(Table1[[#This Row],[Age]]&lt;25,"18-24",
IF(Table1[[#This Row],[Age]]&lt;35,"25-34",
IF(Table1[[#This Row],[Age]]&lt;45,"35-44","45+")))</f>
        <v>18-24</v>
      </c>
    </row>
    <row r="517" spans="1:15" x14ac:dyDescent="0.25">
      <c r="A517" t="s">
        <v>526</v>
      </c>
      <c r="B517" s="4">
        <v>45123</v>
      </c>
      <c r="D517">
        <v>39</v>
      </c>
      <c r="E517" t="s">
        <v>911</v>
      </c>
      <c r="F517" t="s">
        <v>917</v>
      </c>
      <c r="G517" t="s">
        <v>921</v>
      </c>
      <c r="H517">
        <v>21611.74</v>
      </c>
      <c r="I517">
        <v>21</v>
      </c>
      <c r="J517">
        <v>96</v>
      </c>
      <c r="K517" t="s">
        <v>924</v>
      </c>
      <c r="L517" t="str">
        <f>IF(ISBLANK(Table1[[#This Row],[CancelDate]]),"Active","Churned")</f>
        <v>Active</v>
      </c>
      <c r="M517">
        <f ca="1">IF(ISBLANK(Table1[[#This Row],[CancelDate]]),DATEDIF(Table1[[#This Row],[JoinDate]],TODAY(),"M"),DATEDIF(Table1[[#This Row],[JoinDate]],Table1[[#This Row],[CancelDate]],"M"))</f>
        <v>32</v>
      </c>
      <c r="N517" t="str">
        <f>IF(Table1[[#This Row],[EngagementScore]]&lt;=40,"Low",IF(Table1[[#This Row],[EngagementScore]]&lt;=70,"Medium","High"))</f>
        <v>High</v>
      </c>
      <c r="O517" t="str">
        <f>IF(Table1[[#This Row],[Age]]&lt;25,"18-24",
IF(Table1[[#This Row],[Age]]&lt;35,"25-34",
IF(Table1[[#This Row],[Age]]&lt;45,"35-44","45+")))</f>
        <v>35-44</v>
      </c>
    </row>
    <row r="518" spans="1:15" x14ac:dyDescent="0.25">
      <c r="A518" t="s">
        <v>527</v>
      </c>
      <c r="B518" s="4">
        <v>44930</v>
      </c>
      <c r="D518">
        <v>42</v>
      </c>
      <c r="E518" t="s">
        <v>912</v>
      </c>
      <c r="F518" t="s">
        <v>918</v>
      </c>
      <c r="G518" t="s">
        <v>922</v>
      </c>
      <c r="H518">
        <v>5762.08</v>
      </c>
      <c r="I518">
        <v>4</v>
      </c>
      <c r="J518">
        <v>16</v>
      </c>
      <c r="K518" t="s">
        <v>913</v>
      </c>
      <c r="L518" t="str">
        <f>IF(ISBLANK(Table1[[#This Row],[CancelDate]]),"Active","Churned")</f>
        <v>Active</v>
      </c>
      <c r="M518">
        <f ca="1">IF(ISBLANK(Table1[[#This Row],[CancelDate]]),DATEDIF(Table1[[#This Row],[JoinDate]],TODAY(),"M"),DATEDIF(Table1[[#This Row],[JoinDate]],Table1[[#This Row],[CancelDate]],"M"))</f>
        <v>38</v>
      </c>
      <c r="N518" t="str">
        <f>IF(Table1[[#This Row],[EngagementScore]]&lt;=40,"Low",IF(Table1[[#This Row],[EngagementScore]]&lt;=70,"Medium","High"))</f>
        <v>Low</v>
      </c>
      <c r="O518" t="str">
        <f>IF(Table1[[#This Row],[Age]]&lt;25,"18-24",
IF(Table1[[#This Row],[Age]]&lt;35,"25-34",
IF(Table1[[#This Row],[Age]]&lt;45,"35-44","45+")))</f>
        <v>35-44</v>
      </c>
    </row>
    <row r="519" spans="1:15" x14ac:dyDescent="0.25">
      <c r="A519" t="s">
        <v>528</v>
      </c>
      <c r="B519" s="4">
        <v>44796</v>
      </c>
      <c r="D519">
        <v>21</v>
      </c>
      <c r="E519" t="s">
        <v>912</v>
      </c>
      <c r="F519" t="s">
        <v>915</v>
      </c>
      <c r="G519" t="s">
        <v>920</v>
      </c>
      <c r="H519">
        <v>7338.45</v>
      </c>
      <c r="I519">
        <v>8</v>
      </c>
      <c r="J519">
        <v>63</v>
      </c>
      <c r="K519" t="s">
        <v>923</v>
      </c>
      <c r="L519" t="str">
        <f>IF(ISBLANK(Table1[[#This Row],[CancelDate]]),"Active","Churned")</f>
        <v>Active</v>
      </c>
      <c r="M519">
        <f ca="1">IF(ISBLANK(Table1[[#This Row],[CancelDate]]),DATEDIF(Table1[[#This Row],[JoinDate]],TODAY(),"M"),DATEDIF(Table1[[#This Row],[JoinDate]],Table1[[#This Row],[CancelDate]],"M"))</f>
        <v>43</v>
      </c>
      <c r="N519" t="str">
        <f>IF(Table1[[#This Row],[EngagementScore]]&lt;=40,"Low",IF(Table1[[#This Row],[EngagementScore]]&lt;=70,"Medium","High"))</f>
        <v>Medium</v>
      </c>
      <c r="O519" t="str">
        <f>IF(Table1[[#This Row],[Age]]&lt;25,"18-24",
IF(Table1[[#This Row],[Age]]&lt;35,"25-34",
IF(Table1[[#This Row],[Age]]&lt;45,"35-44","45+")))</f>
        <v>18-24</v>
      </c>
    </row>
    <row r="520" spans="1:15" x14ac:dyDescent="0.25">
      <c r="A520" t="s">
        <v>529</v>
      </c>
      <c r="B520" s="4">
        <v>44712</v>
      </c>
      <c r="C520" s="1">
        <v>45062</v>
      </c>
      <c r="D520">
        <v>40</v>
      </c>
      <c r="E520" t="s">
        <v>912</v>
      </c>
      <c r="F520" t="s">
        <v>918</v>
      </c>
      <c r="G520" t="s">
        <v>921</v>
      </c>
      <c r="H520">
        <v>5044.95</v>
      </c>
      <c r="I520">
        <v>3</v>
      </c>
      <c r="J520">
        <v>32</v>
      </c>
      <c r="K520" t="s">
        <v>925</v>
      </c>
      <c r="L520" t="str">
        <f>IF(ISBLANK(Table1[[#This Row],[CancelDate]]),"Active","Churned")</f>
        <v>Churned</v>
      </c>
      <c r="M520">
        <f ca="1">IF(ISBLANK(Table1[[#This Row],[CancelDate]]),DATEDIF(Table1[[#This Row],[JoinDate]],TODAY(),"M"),DATEDIF(Table1[[#This Row],[JoinDate]],Table1[[#This Row],[CancelDate]],"M"))</f>
        <v>11</v>
      </c>
      <c r="N520" t="str">
        <f>IF(Table1[[#This Row],[EngagementScore]]&lt;=40,"Low",IF(Table1[[#This Row],[EngagementScore]]&lt;=70,"Medium","High"))</f>
        <v>Low</v>
      </c>
      <c r="O520" t="str">
        <f>IF(Table1[[#This Row],[Age]]&lt;25,"18-24",
IF(Table1[[#This Row],[Age]]&lt;35,"25-34",
IF(Table1[[#This Row],[Age]]&lt;45,"35-44","45+")))</f>
        <v>35-44</v>
      </c>
    </row>
    <row r="521" spans="1:15" x14ac:dyDescent="0.25">
      <c r="A521" t="s">
        <v>530</v>
      </c>
      <c r="B521" s="4">
        <v>45232</v>
      </c>
      <c r="D521">
        <v>47</v>
      </c>
      <c r="E521" t="s">
        <v>912</v>
      </c>
      <c r="F521" t="s">
        <v>919</v>
      </c>
      <c r="G521" t="s">
        <v>921</v>
      </c>
      <c r="H521">
        <v>23203.96</v>
      </c>
      <c r="I521">
        <v>21</v>
      </c>
      <c r="J521">
        <v>83</v>
      </c>
      <c r="K521" t="s">
        <v>925</v>
      </c>
      <c r="L521" t="str">
        <f>IF(ISBLANK(Table1[[#This Row],[CancelDate]]),"Active","Churned")</f>
        <v>Active</v>
      </c>
      <c r="M521">
        <f ca="1">IF(ISBLANK(Table1[[#This Row],[CancelDate]]),DATEDIF(Table1[[#This Row],[JoinDate]],TODAY(),"M"),DATEDIF(Table1[[#This Row],[JoinDate]],Table1[[#This Row],[CancelDate]],"M"))</f>
        <v>29</v>
      </c>
      <c r="N521" t="str">
        <f>IF(Table1[[#This Row],[EngagementScore]]&lt;=40,"Low",IF(Table1[[#This Row],[EngagementScore]]&lt;=70,"Medium","High"))</f>
        <v>High</v>
      </c>
      <c r="O521" t="str">
        <f>IF(Table1[[#This Row],[Age]]&lt;25,"18-24",
IF(Table1[[#This Row],[Age]]&lt;35,"25-34",
IF(Table1[[#This Row],[Age]]&lt;45,"35-44","45+")))</f>
        <v>45+</v>
      </c>
    </row>
    <row r="522" spans="1:15" x14ac:dyDescent="0.25">
      <c r="A522" t="s">
        <v>531</v>
      </c>
      <c r="B522" s="4">
        <v>44676</v>
      </c>
      <c r="C522" s="1">
        <v>44712</v>
      </c>
      <c r="D522">
        <v>59</v>
      </c>
      <c r="E522" t="s">
        <v>912</v>
      </c>
      <c r="F522" t="s">
        <v>914</v>
      </c>
      <c r="G522" t="s">
        <v>921</v>
      </c>
      <c r="H522">
        <v>4498.12</v>
      </c>
      <c r="I522">
        <v>3</v>
      </c>
      <c r="J522">
        <v>29</v>
      </c>
      <c r="K522" t="s">
        <v>913</v>
      </c>
      <c r="L522" t="str">
        <f>IF(ISBLANK(Table1[[#This Row],[CancelDate]]),"Active","Churned")</f>
        <v>Churned</v>
      </c>
      <c r="M522">
        <f ca="1">IF(ISBLANK(Table1[[#This Row],[CancelDate]]),DATEDIF(Table1[[#This Row],[JoinDate]],TODAY(),"M"),DATEDIF(Table1[[#This Row],[JoinDate]],Table1[[#This Row],[CancelDate]],"M"))</f>
        <v>1</v>
      </c>
      <c r="N522" t="str">
        <f>IF(Table1[[#This Row],[EngagementScore]]&lt;=40,"Low",IF(Table1[[#This Row],[EngagementScore]]&lt;=70,"Medium","High"))</f>
        <v>Low</v>
      </c>
      <c r="O522" t="str">
        <f>IF(Table1[[#This Row],[Age]]&lt;25,"18-24",
IF(Table1[[#This Row],[Age]]&lt;35,"25-34",
IF(Table1[[#This Row],[Age]]&lt;45,"35-44","45+")))</f>
        <v>45+</v>
      </c>
    </row>
    <row r="523" spans="1:15" x14ac:dyDescent="0.25">
      <c r="A523" t="s">
        <v>532</v>
      </c>
      <c r="B523" s="4">
        <v>45394</v>
      </c>
      <c r="C523" s="1">
        <v>45673</v>
      </c>
      <c r="D523">
        <v>53</v>
      </c>
      <c r="E523" t="s">
        <v>911</v>
      </c>
      <c r="F523" t="s">
        <v>915</v>
      </c>
      <c r="G523" t="s">
        <v>922</v>
      </c>
      <c r="H523">
        <v>7323.12</v>
      </c>
      <c r="I523">
        <v>6</v>
      </c>
      <c r="J523">
        <v>34</v>
      </c>
      <c r="K523" t="s">
        <v>923</v>
      </c>
      <c r="L523" t="str">
        <f>IF(ISBLANK(Table1[[#This Row],[CancelDate]]),"Active","Churned")</f>
        <v>Churned</v>
      </c>
      <c r="M523">
        <f ca="1">IF(ISBLANK(Table1[[#This Row],[CancelDate]]),DATEDIF(Table1[[#This Row],[JoinDate]],TODAY(),"M"),DATEDIF(Table1[[#This Row],[JoinDate]],Table1[[#This Row],[CancelDate]],"M"))</f>
        <v>9</v>
      </c>
      <c r="N523" t="str">
        <f>IF(Table1[[#This Row],[EngagementScore]]&lt;=40,"Low",IF(Table1[[#This Row],[EngagementScore]]&lt;=70,"Medium","High"))</f>
        <v>Low</v>
      </c>
      <c r="O523" t="str">
        <f>IF(Table1[[#This Row],[Age]]&lt;25,"18-24",
IF(Table1[[#This Row],[Age]]&lt;35,"25-34",
IF(Table1[[#This Row],[Age]]&lt;45,"35-44","45+")))</f>
        <v>45+</v>
      </c>
    </row>
    <row r="524" spans="1:15" x14ac:dyDescent="0.25">
      <c r="A524" t="s">
        <v>533</v>
      </c>
      <c r="B524" s="4">
        <v>44724</v>
      </c>
      <c r="C524" s="1">
        <v>45014</v>
      </c>
      <c r="D524">
        <v>43</v>
      </c>
      <c r="E524" t="s">
        <v>911</v>
      </c>
      <c r="F524" t="s">
        <v>917</v>
      </c>
      <c r="G524" t="s">
        <v>921</v>
      </c>
      <c r="H524">
        <v>6795.83</v>
      </c>
      <c r="I524">
        <v>5</v>
      </c>
      <c r="J524">
        <v>20</v>
      </c>
      <c r="K524" t="s">
        <v>923</v>
      </c>
      <c r="L524" t="str">
        <f>IF(ISBLANK(Table1[[#This Row],[CancelDate]]),"Active","Churned")</f>
        <v>Churned</v>
      </c>
      <c r="M524">
        <f ca="1">IF(ISBLANK(Table1[[#This Row],[CancelDate]]),DATEDIF(Table1[[#This Row],[JoinDate]],TODAY(),"M"),DATEDIF(Table1[[#This Row],[JoinDate]],Table1[[#This Row],[CancelDate]],"M"))</f>
        <v>9</v>
      </c>
      <c r="N524" t="str">
        <f>IF(Table1[[#This Row],[EngagementScore]]&lt;=40,"Low",IF(Table1[[#This Row],[EngagementScore]]&lt;=70,"Medium","High"))</f>
        <v>Low</v>
      </c>
      <c r="O524" t="str">
        <f>IF(Table1[[#This Row],[Age]]&lt;25,"18-24",
IF(Table1[[#This Row],[Age]]&lt;35,"25-34",
IF(Table1[[#This Row],[Age]]&lt;45,"35-44","45+")))</f>
        <v>35-44</v>
      </c>
    </row>
    <row r="525" spans="1:15" x14ac:dyDescent="0.25">
      <c r="A525" t="s">
        <v>534</v>
      </c>
      <c r="B525" s="4">
        <v>44646</v>
      </c>
      <c r="D525">
        <v>48</v>
      </c>
      <c r="E525" t="s">
        <v>911</v>
      </c>
      <c r="F525" t="s">
        <v>919</v>
      </c>
      <c r="G525" t="s">
        <v>921</v>
      </c>
      <c r="H525">
        <v>6692.91</v>
      </c>
      <c r="I525">
        <v>5</v>
      </c>
      <c r="J525">
        <v>63</v>
      </c>
      <c r="K525" t="s">
        <v>925</v>
      </c>
      <c r="L525" t="str">
        <f>IF(ISBLANK(Table1[[#This Row],[CancelDate]]),"Active","Churned")</f>
        <v>Active</v>
      </c>
      <c r="M525">
        <f ca="1">IF(ISBLANK(Table1[[#This Row],[CancelDate]]),DATEDIF(Table1[[#This Row],[JoinDate]],TODAY(),"M"),DATEDIF(Table1[[#This Row],[JoinDate]],Table1[[#This Row],[CancelDate]],"M"))</f>
        <v>48</v>
      </c>
      <c r="N525" t="str">
        <f>IF(Table1[[#This Row],[EngagementScore]]&lt;=40,"Low",IF(Table1[[#This Row],[EngagementScore]]&lt;=70,"Medium","High"))</f>
        <v>Medium</v>
      </c>
      <c r="O525" t="str">
        <f>IF(Table1[[#This Row],[Age]]&lt;25,"18-24",
IF(Table1[[#This Row],[Age]]&lt;35,"25-34",
IF(Table1[[#This Row],[Age]]&lt;45,"35-44","45+")))</f>
        <v>45+</v>
      </c>
    </row>
    <row r="526" spans="1:15" x14ac:dyDescent="0.25">
      <c r="A526" t="s">
        <v>535</v>
      </c>
      <c r="B526" s="4">
        <v>44641</v>
      </c>
      <c r="D526">
        <v>26</v>
      </c>
      <c r="E526" t="s">
        <v>912</v>
      </c>
      <c r="F526" t="s">
        <v>917</v>
      </c>
      <c r="G526" t="s">
        <v>922</v>
      </c>
      <c r="H526">
        <v>13348.56</v>
      </c>
      <c r="I526">
        <v>10</v>
      </c>
      <c r="J526">
        <v>46</v>
      </c>
      <c r="K526" t="s">
        <v>913</v>
      </c>
      <c r="L526" t="str">
        <f>IF(ISBLANK(Table1[[#This Row],[CancelDate]]),"Active","Churned")</f>
        <v>Active</v>
      </c>
      <c r="M526">
        <f ca="1">IF(ISBLANK(Table1[[#This Row],[CancelDate]]),DATEDIF(Table1[[#This Row],[JoinDate]],TODAY(),"M"),DATEDIF(Table1[[#This Row],[JoinDate]],Table1[[#This Row],[CancelDate]],"M"))</f>
        <v>48</v>
      </c>
      <c r="N526" t="str">
        <f>IF(Table1[[#This Row],[EngagementScore]]&lt;=40,"Low",IF(Table1[[#This Row],[EngagementScore]]&lt;=70,"Medium","High"))</f>
        <v>Medium</v>
      </c>
      <c r="O526" t="str">
        <f>IF(Table1[[#This Row],[Age]]&lt;25,"18-24",
IF(Table1[[#This Row],[Age]]&lt;35,"25-34",
IF(Table1[[#This Row],[Age]]&lt;45,"35-44","45+")))</f>
        <v>25-34</v>
      </c>
    </row>
    <row r="527" spans="1:15" x14ac:dyDescent="0.25">
      <c r="A527" t="s">
        <v>536</v>
      </c>
      <c r="B527" s="4">
        <v>44966</v>
      </c>
      <c r="C527" s="1">
        <v>45206</v>
      </c>
      <c r="D527">
        <v>40</v>
      </c>
      <c r="E527" t="s">
        <v>911</v>
      </c>
      <c r="F527" t="s">
        <v>916</v>
      </c>
      <c r="G527" t="s">
        <v>921</v>
      </c>
      <c r="H527">
        <v>9619</v>
      </c>
      <c r="I527">
        <v>5</v>
      </c>
      <c r="J527">
        <v>57</v>
      </c>
      <c r="K527" t="s">
        <v>925</v>
      </c>
      <c r="L527" t="str">
        <f>IF(ISBLANK(Table1[[#This Row],[CancelDate]]),"Active","Churned")</f>
        <v>Churned</v>
      </c>
      <c r="M527">
        <f ca="1">IF(ISBLANK(Table1[[#This Row],[CancelDate]]),DATEDIF(Table1[[#This Row],[JoinDate]],TODAY(),"M"),DATEDIF(Table1[[#This Row],[JoinDate]],Table1[[#This Row],[CancelDate]],"M"))</f>
        <v>7</v>
      </c>
      <c r="N527" t="str">
        <f>IF(Table1[[#This Row],[EngagementScore]]&lt;=40,"Low",IF(Table1[[#This Row],[EngagementScore]]&lt;=70,"Medium","High"))</f>
        <v>Medium</v>
      </c>
      <c r="O527" t="str">
        <f>IF(Table1[[#This Row],[Age]]&lt;25,"18-24",
IF(Table1[[#This Row],[Age]]&lt;35,"25-34",
IF(Table1[[#This Row],[Age]]&lt;45,"35-44","45+")))</f>
        <v>35-44</v>
      </c>
    </row>
    <row r="528" spans="1:15" x14ac:dyDescent="0.25">
      <c r="A528" t="s">
        <v>537</v>
      </c>
      <c r="B528" s="4">
        <v>44963</v>
      </c>
      <c r="D528">
        <v>24</v>
      </c>
      <c r="E528" t="s">
        <v>911</v>
      </c>
      <c r="F528" t="s">
        <v>917</v>
      </c>
      <c r="G528" t="s">
        <v>920</v>
      </c>
      <c r="H528">
        <v>7115.76</v>
      </c>
      <c r="I528">
        <v>11</v>
      </c>
      <c r="J528">
        <v>47</v>
      </c>
      <c r="K528" t="s">
        <v>923</v>
      </c>
      <c r="L528" t="str">
        <f>IF(ISBLANK(Table1[[#This Row],[CancelDate]]),"Active","Churned")</f>
        <v>Active</v>
      </c>
      <c r="M528">
        <f ca="1">IF(ISBLANK(Table1[[#This Row],[CancelDate]]),DATEDIF(Table1[[#This Row],[JoinDate]],TODAY(),"M"),DATEDIF(Table1[[#This Row],[JoinDate]],Table1[[#This Row],[CancelDate]],"M"))</f>
        <v>37</v>
      </c>
      <c r="N528" t="str">
        <f>IF(Table1[[#This Row],[EngagementScore]]&lt;=40,"Low",IF(Table1[[#This Row],[EngagementScore]]&lt;=70,"Medium","High"))</f>
        <v>Medium</v>
      </c>
      <c r="O528" t="str">
        <f>IF(Table1[[#This Row],[Age]]&lt;25,"18-24",
IF(Table1[[#This Row],[Age]]&lt;35,"25-34",
IF(Table1[[#This Row],[Age]]&lt;45,"35-44","45+")))</f>
        <v>18-24</v>
      </c>
    </row>
    <row r="529" spans="1:15" x14ac:dyDescent="0.25">
      <c r="A529" t="s">
        <v>538</v>
      </c>
      <c r="B529" s="4">
        <v>44956</v>
      </c>
      <c r="C529" s="1">
        <v>45298</v>
      </c>
      <c r="D529">
        <v>23</v>
      </c>
      <c r="E529" t="s">
        <v>912</v>
      </c>
      <c r="F529" t="s">
        <v>919</v>
      </c>
      <c r="G529" t="s">
        <v>922</v>
      </c>
      <c r="H529">
        <v>2093.41</v>
      </c>
      <c r="I529">
        <v>7</v>
      </c>
      <c r="J529">
        <v>15</v>
      </c>
      <c r="K529" t="s">
        <v>925</v>
      </c>
      <c r="L529" t="str">
        <f>IF(ISBLANK(Table1[[#This Row],[CancelDate]]),"Active","Churned")</f>
        <v>Churned</v>
      </c>
      <c r="M529">
        <f ca="1">IF(ISBLANK(Table1[[#This Row],[CancelDate]]),DATEDIF(Table1[[#This Row],[JoinDate]],TODAY(),"M"),DATEDIF(Table1[[#This Row],[JoinDate]],Table1[[#This Row],[CancelDate]],"M"))</f>
        <v>11</v>
      </c>
      <c r="N529" t="str">
        <f>IF(Table1[[#This Row],[EngagementScore]]&lt;=40,"Low",IF(Table1[[#This Row],[EngagementScore]]&lt;=70,"Medium","High"))</f>
        <v>Low</v>
      </c>
      <c r="O529" t="str">
        <f>IF(Table1[[#This Row],[Age]]&lt;25,"18-24",
IF(Table1[[#This Row],[Age]]&lt;35,"25-34",
IF(Table1[[#This Row],[Age]]&lt;45,"35-44","45+")))</f>
        <v>18-24</v>
      </c>
    </row>
    <row r="530" spans="1:15" x14ac:dyDescent="0.25">
      <c r="A530" t="s">
        <v>539</v>
      </c>
      <c r="B530" s="4">
        <v>44562</v>
      </c>
      <c r="D530">
        <v>41</v>
      </c>
      <c r="E530" t="s">
        <v>912</v>
      </c>
      <c r="F530" t="s">
        <v>915</v>
      </c>
      <c r="G530" t="s">
        <v>920</v>
      </c>
      <c r="H530">
        <v>14099.56</v>
      </c>
      <c r="I530">
        <v>10</v>
      </c>
      <c r="J530">
        <v>55</v>
      </c>
      <c r="K530" t="s">
        <v>913</v>
      </c>
      <c r="L530" t="str">
        <f>IF(ISBLANK(Table1[[#This Row],[CancelDate]]),"Active","Churned")</f>
        <v>Active</v>
      </c>
      <c r="M530">
        <f ca="1">IF(ISBLANK(Table1[[#This Row],[CancelDate]]),DATEDIF(Table1[[#This Row],[JoinDate]],TODAY(),"M"),DATEDIF(Table1[[#This Row],[JoinDate]],Table1[[#This Row],[CancelDate]],"M"))</f>
        <v>51</v>
      </c>
      <c r="N530" t="str">
        <f>IF(Table1[[#This Row],[EngagementScore]]&lt;=40,"Low",IF(Table1[[#This Row],[EngagementScore]]&lt;=70,"Medium","High"))</f>
        <v>Medium</v>
      </c>
      <c r="O530" t="str">
        <f>IF(Table1[[#This Row],[Age]]&lt;25,"18-24",
IF(Table1[[#This Row],[Age]]&lt;35,"25-34",
IF(Table1[[#This Row],[Age]]&lt;45,"35-44","45+")))</f>
        <v>35-44</v>
      </c>
    </row>
    <row r="531" spans="1:15" x14ac:dyDescent="0.25">
      <c r="A531" t="s">
        <v>540</v>
      </c>
      <c r="B531" s="4">
        <v>45458</v>
      </c>
      <c r="C531" s="1">
        <v>45654</v>
      </c>
      <c r="D531">
        <v>50</v>
      </c>
      <c r="E531" t="s">
        <v>911</v>
      </c>
      <c r="F531" t="s">
        <v>916</v>
      </c>
      <c r="G531" t="s">
        <v>922</v>
      </c>
      <c r="H531">
        <v>6385.95</v>
      </c>
      <c r="I531">
        <v>14</v>
      </c>
      <c r="J531">
        <v>52</v>
      </c>
      <c r="K531" t="s">
        <v>924</v>
      </c>
      <c r="L531" t="str">
        <f>IF(ISBLANK(Table1[[#This Row],[CancelDate]]),"Active","Churned")</f>
        <v>Churned</v>
      </c>
      <c r="M531">
        <f ca="1">IF(ISBLANK(Table1[[#This Row],[CancelDate]]),DATEDIF(Table1[[#This Row],[JoinDate]],TODAY(),"M"),DATEDIF(Table1[[#This Row],[JoinDate]],Table1[[#This Row],[CancelDate]],"M"))</f>
        <v>6</v>
      </c>
      <c r="N531" t="str">
        <f>IF(Table1[[#This Row],[EngagementScore]]&lt;=40,"Low",IF(Table1[[#This Row],[EngagementScore]]&lt;=70,"Medium","High"))</f>
        <v>Medium</v>
      </c>
      <c r="O531" t="str">
        <f>IF(Table1[[#This Row],[Age]]&lt;25,"18-24",
IF(Table1[[#This Row],[Age]]&lt;35,"25-34",
IF(Table1[[#This Row],[Age]]&lt;45,"35-44","45+")))</f>
        <v>45+</v>
      </c>
    </row>
    <row r="532" spans="1:15" x14ac:dyDescent="0.25">
      <c r="A532" t="s">
        <v>541</v>
      </c>
      <c r="B532" s="4">
        <v>44788</v>
      </c>
      <c r="D532">
        <v>49</v>
      </c>
      <c r="E532" t="s">
        <v>911</v>
      </c>
      <c r="F532" t="s">
        <v>914</v>
      </c>
      <c r="G532" t="s">
        <v>922</v>
      </c>
      <c r="H532">
        <v>19050.650000000001</v>
      </c>
      <c r="I532">
        <v>12</v>
      </c>
      <c r="J532">
        <v>81</v>
      </c>
      <c r="K532" t="s">
        <v>925</v>
      </c>
      <c r="L532" t="str">
        <f>IF(ISBLANK(Table1[[#This Row],[CancelDate]]),"Active","Churned")</f>
        <v>Active</v>
      </c>
      <c r="M532">
        <f ca="1">IF(ISBLANK(Table1[[#This Row],[CancelDate]]),DATEDIF(Table1[[#This Row],[JoinDate]],TODAY(),"M"),DATEDIF(Table1[[#This Row],[JoinDate]],Table1[[#This Row],[CancelDate]],"M"))</f>
        <v>43</v>
      </c>
      <c r="N532" t="str">
        <f>IF(Table1[[#This Row],[EngagementScore]]&lt;=40,"Low",IF(Table1[[#This Row],[EngagementScore]]&lt;=70,"Medium","High"))</f>
        <v>High</v>
      </c>
      <c r="O532" t="str">
        <f>IF(Table1[[#This Row],[Age]]&lt;25,"18-24",
IF(Table1[[#This Row],[Age]]&lt;35,"25-34",
IF(Table1[[#This Row],[Age]]&lt;45,"35-44","45+")))</f>
        <v>45+</v>
      </c>
    </row>
    <row r="533" spans="1:15" x14ac:dyDescent="0.25">
      <c r="A533" t="s">
        <v>542</v>
      </c>
      <c r="B533" s="4">
        <v>45237</v>
      </c>
      <c r="D533">
        <v>22</v>
      </c>
      <c r="E533" t="s">
        <v>911</v>
      </c>
      <c r="F533" t="s">
        <v>914</v>
      </c>
      <c r="G533" t="s">
        <v>921</v>
      </c>
      <c r="H533">
        <v>11057.88</v>
      </c>
      <c r="I533">
        <v>9</v>
      </c>
      <c r="J533">
        <v>47</v>
      </c>
      <c r="K533" t="s">
        <v>923</v>
      </c>
      <c r="L533" t="str">
        <f>IF(ISBLANK(Table1[[#This Row],[CancelDate]]),"Active","Churned")</f>
        <v>Active</v>
      </c>
      <c r="M533">
        <f ca="1">IF(ISBLANK(Table1[[#This Row],[CancelDate]]),DATEDIF(Table1[[#This Row],[JoinDate]],TODAY(),"M"),DATEDIF(Table1[[#This Row],[JoinDate]],Table1[[#This Row],[CancelDate]],"M"))</f>
        <v>28</v>
      </c>
      <c r="N533" t="str">
        <f>IF(Table1[[#This Row],[EngagementScore]]&lt;=40,"Low",IF(Table1[[#This Row],[EngagementScore]]&lt;=70,"Medium","High"))</f>
        <v>Medium</v>
      </c>
      <c r="O533" t="str">
        <f>IF(Table1[[#This Row],[Age]]&lt;25,"18-24",
IF(Table1[[#This Row],[Age]]&lt;35,"25-34",
IF(Table1[[#This Row],[Age]]&lt;45,"35-44","45+")))</f>
        <v>18-24</v>
      </c>
    </row>
    <row r="534" spans="1:15" x14ac:dyDescent="0.25">
      <c r="A534" t="s">
        <v>543</v>
      </c>
      <c r="B534" s="4">
        <v>44681</v>
      </c>
      <c r="C534" s="1">
        <v>44769</v>
      </c>
      <c r="D534">
        <v>34</v>
      </c>
      <c r="E534" t="s">
        <v>911</v>
      </c>
      <c r="F534" t="s">
        <v>918</v>
      </c>
      <c r="G534" t="s">
        <v>922</v>
      </c>
      <c r="H534">
        <v>9045.06</v>
      </c>
      <c r="I534">
        <v>13</v>
      </c>
      <c r="J534">
        <v>56</v>
      </c>
      <c r="K534" t="s">
        <v>913</v>
      </c>
      <c r="L534" t="str">
        <f>IF(ISBLANK(Table1[[#This Row],[CancelDate]]),"Active","Churned")</f>
        <v>Churned</v>
      </c>
      <c r="M534">
        <f ca="1">IF(ISBLANK(Table1[[#This Row],[CancelDate]]),DATEDIF(Table1[[#This Row],[JoinDate]],TODAY(),"M"),DATEDIF(Table1[[#This Row],[JoinDate]],Table1[[#This Row],[CancelDate]],"M"))</f>
        <v>2</v>
      </c>
      <c r="N534" t="str">
        <f>IF(Table1[[#This Row],[EngagementScore]]&lt;=40,"Low",IF(Table1[[#This Row],[EngagementScore]]&lt;=70,"Medium","High"))</f>
        <v>Medium</v>
      </c>
      <c r="O534" t="str">
        <f>IF(Table1[[#This Row],[Age]]&lt;25,"18-24",
IF(Table1[[#This Row],[Age]]&lt;35,"25-34",
IF(Table1[[#This Row],[Age]]&lt;45,"35-44","45+")))</f>
        <v>25-34</v>
      </c>
    </row>
    <row r="535" spans="1:15" x14ac:dyDescent="0.25">
      <c r="A535" t="s">
        <v>544</v>
      </c>
      <c r="B535" s="4">
        <v>44680</v>
      </c>
      <c r="D535">
        <v>20</v>
      </c>
      <c r="E535" t="s">
        <v>912</v>
      </c>
      <c r="F535" t="s">
        <v>916</v>
      </c>
      <c r="G535" t="s">
        <v>922</v>
      </c>
      <c r="H535">
        <v>7111.89</v>
      </c>
      <c r="I535">
        <v>4</v>
      </c>
      <c r="J535">
        <v>35</v>
      </c>
      <c r="K535" t="s">
        <v>924</v>
      </c>
      <c r="L535" t="str">
        <f>IF(ISBLANK(Table1[[#This Row],[CancelDate]]),"Active","Churned")</f>
        <v>Active</v>
      </c>
      <c r="M535">
        <f ca="1">IF(ISBLANK(Table1[[#This Row],[CancelDate]]),DATEDIF(Table1[[#This Row],[JoinDate]],TODAY(),"M"),DATEDIF(Table1[[#This Row],[JoinDate]],Table1[[#This Row],[CancelDate]],"M"))</f>
        <v>47</v>
      </c>
      <c r="N535" t="str">
        <f>IF(Table1[[#This Row],[EngagementScore]]&lt;=40,"Low",IF(Table1[[#This Row],[EngagementScore]]&lt;=70,"Medium","High"))</f>
        <v>Low</v>
      </c>
      <c r="O535" t="str">
        <f>IF(Table1[[#This Row],[Age]]&lt;25,"18-24",
IF(Table1[[#This Row],[Age]]&lt;35,"25-34",
IF(Table1[[#This Row],[Age]]&lt;45,"35-44","45+")))</f>
        <v>18-24</v>
      </c>
    </row>
    <row r="536" spans="1:15" x14ac:dyDescent="0.25">
      <c r="A536" t="s">
        <v>545</v>
      </c>
      <c r="B536" s="4">
        <v>44718</v>
      </c>
      <c r="D536">
        <v>23</v>
      </c>
      <c r="E536" t="s">
        <v>912</v>
      </c>
      <c r="F536" t="s">
        <v>914</v>
      </c>
      <c r="G536" t="s">
        <v>921</v>
      </c>
      <c r="H536">
        <v>8254.67</v>
      </c>
      <c r="I536">
        <v>12</v>
      </c>
      <c r="J536">
        <v>51</v>
      </c>
      <c r="K536" t="s">
        <v>925</v>
      </c>
      <c r="L536" t="str">
        <f>IF(ISBLANK(Table1[[#This Row],[CancelDate]]),"Active","Churned")</f>
        <v>Active</v>
      </c>
      <c r="M536">
        <f ca="1">IF(ISBLANK(Table1[[#This Row],[CancelDate]]),DATEDIF(Table1[[#This Row],[JoinDate]],TODAY(),"M"),DATEDIF(Table1[[#This Row],[JoinDate]],Table1[[#This Row],[CancelDate]],"M"))</f>
        <v>45</v>
      </c>
      <c r="N536" t="str">
        <f>IF(Table1[[#This Row],[EngagementScore]]&lt;=40,"Low",IF(Table1[[#This Row],[EngagementScore]]&lt;=70,"Medium","High"))</f>
        <v>Medium</v>
      </c>
      <c r="O536" t="str">
        <f>IF(Table1[[#This Row],[Age]]&lt;25,"18-24",
IF(Table1[[#This Row],[Age]]&lt;35,"25-34",
IF(Table1[[#This Row],[Age]]&lt;45,"35-44","45+")))</f>
        <v>18-24</v>
      </c>
    </row>
    <row r="537" spans="1:15" x14ac:dyDescent="0.25">
      <c r="A537" t="s">
        <v>546</v>
      </c>
      <c r="B537" s="4">
        <v>44987</v>
      </c>
      <c r="D537">
        <v>40</v>
      </c>
      <c r="E537" t="s">
        <v>912</v>
      </c>
      <c r="F537" t="s">
        <v>919</v>
      </c>
      <c r="G537" t="s">
        <v>922</v>
      </c>
      <c r="H537">
        <v>12516.07</v>
      </c>
      <c r="I537">
        <v>10</v>
      </c>
      <c r="J537">
        <v>64</v>
      </c>
      <c r="K537" t="s">
        <v>925</v>
      </c>
      <c r="L537" t="str">
        <f>IF(ISBLANK(Table1[[#This Row],[CancelDate]]),"Active","Churned")</f>
        <v>Active</v>
      </c>
      <c r="M537">
        <f ca="1">IF(ISBLANK(Table1[[#This Row],[CancelDate]]),DATEDIF(Table1[[#This Row],[JoinDate]],TODAY(),"M"),DATEDIF(Table1[[#This Row],[JoinDate]],Table1[[#This Row],[CancelDate]],"M"))</f>
        <v>37</v>
      </c>
      <c r="N537" t="str">
        <f>IF(Table1[[#This Row],[EngagementScore]]&lt;=40,"Low",IF(Table1[[#This Row],[EngagementScore]]&lt;=70,"Medium","High"))</f>
        <v>Medium</v>
      </c>
      <c r="O537" t="str">
        <f>IF(Table1[[#This Row],[Age]]&lt;25,"18-24",
IF(Table1[[#This Row],[Age]]&lt;35,"25-34",
IF(Table1[[#This Row],[Age]]&lt;45,"35-44","45+")))</f>
        <v>35-44</v>
      </c>
    </row>
    <row r="538" spans="1:15" x14ac:dyDescent="0.25">
      <c r="A538" t="s">
        <v>547</v>
      </c>
      <c r="B538" s="4">
        <v>45365</v>
      </c>
      <c r="C538" s="1">
        <v>45645</v>
      </c>
      <c r="D538">
        <v>47</v>
      </c>
      <c r="E538" t="s">
        <v>912</v>
      </c>
      <c r="F538" t="s">
        <v>917</v>
      </c>
      <c r="G538" t="s">
        <v>921</v>
      </c>
      <c r="H538">
        <v>11843.27</v>
      </c>
      <c r="I538">
        <v>5</v>
      </c>
      <c r="J538">
        <v>43</v>
      </c>
      <c r="K538" t="s">
        <v>925</v>
      </c>
      <c r="L538" t="str">
        <f>IF(ISBLANK(Table1[[#This Row],[CancelDate]]),"Active","Churned")</f>
        <v>Churned</v>
      </c>
      <c r="M538">
        <f ca="1">IF(ISBLANK(Table1[[#This Row],[CancelDate]]),DATEDIF(Table1[[#This Row],[JoinDate]],TODAY(),"M"),DATEDIF(Table1[[#This Row],[JoinDate]],Table1[[#This Row],[CancelDate]],"M"))</f>
        <v>9</v>
      </c>
      <c r="N538" t="str">
        <f>IF(Table1[[#This Row],[EngagementScore]]&lt;=40,"Low",IF(Table1[[#This Row],[EngagementScore]]&lt;=70,"Medium","High"))</f>
        <v>Medium</v>
      </c>
      <c r="O538" t="str">
        <f>IF(Table1[[#This Row],[Age]]&lt;25,"18-24",
IF(Table1[[#This Row],[Age]]&lt;35,"25-34",
IF(Table1[[#This Row],[Age]]&lt;45,"35-44","45+")))</f>
        <v>45+</v>
      </c>
    </row>
    <row r="539" spans="1:15" x14ac:dyDescent="0.25">
      <c r="A539" t="s">
        <v>548</v>
      </c>
      <c r="B539" s="4">
        <v>45415</v>
      </c>
      <c r="D539">
        <v>42</v>
      </c>
      <c r="E539" t="s">
        <v>912</v>
      </c>
      <c r="F539" t="s">
        <v>916</v>
      </c>
      <c r="G539" t="s">
        <v>920</v>
      </c>
      <c r="H539">
        <v>4022.62</v>
      </c>
      <c r="I539">
        <v>6</v>
      </c>
      <c r="J539">
        <v>38</v>
      </c>
      <c r="K539" t="s">
        <v>923</v>
      </c>
      <c r="L539" t="str">
        <f>IF(ISBLANK(Table1[[#This Row],[CancelDate]]),"Active","Churned")</f>
        <v>Active</v>
      </c>
      <c r="M539">
        <f ca="1">IF(ISBLANK(Table1[[#This Row],[CancelDate]]),DATEDIF(Table1[[#This Row],[JoinDate]],TODAY(),"M"),DATEDIF(Table1[[#This Row],[JoinDate]],Table1[[#This Row],[CancelDate]],"M"))</f>
        <v>22</v>
      </c>
      <c r="N539" t="str">
        <f>IF(Table1[[#This Row],[EngagementScore]]&lt;=40,"Low",IF(Table1[[#This Row],[EngagementScore]]&lt;=70,"Medium","High"))</f>
        <v>Low</v>
      </c>
      <c r="O539" t="str">
        <f>IF(Table1[[#This Row],[Age]]&lt;25,"18-24",
IF(Table1[[#This Row],[Age]]&lt;35,"25-34",
IF(Table1[[#This Row],[Age]]&lt;45,"35-44","45+")))</f>
        <v>35-44</v>
      </c>
    </row>
    <row r="540" spans="1:15" x14ac:dyDescent="0.25">
      <c r="A540" t="s">
        <v>549</v>
      </c>
      <c r="B540" s="4">
        <v>44735</v>
      </c>
      <c r="D540">
        <v>38</v>
      </c>
      <c r="E540" t="s">
        <v>911</v>
      </c>
      <c r="F540" t="s">
        <v>914</v>
      </c>
      <c r="G540" t="s">
        <v>922</v>
      </c>
      <c r="H540">
        <v>14838.48</v>
      </c>
      <c r="I540">
        <v>10</v>
      </c>
      <c r="J540">
        <v>47</v>
      </c>
      <c r="K540" t="s">
        <v>925</v>
      </c>
      <c r="L540" t="str">
        <f>IF(ISBLANK(Table1[[#This Row],[CancelDate]]),"Active","Churned")</f>
        <v>Active</v>
      </c>
      <c r="M540">
        <f ca="1">IF(ISBLANK(Table1[[#This Row],[CancelDate]]),DATEDIF(Table1[[#This Row],[JoinDate]],TODAY(),"M"),DATEDIF(Table1[[#This Row],[JoinDate]],Table1[[#This Row],[CancelDate]],"M"))</f>
        <v>45</v>
      </c>
      <c r="N540" t="str">
        <f>IF(Table1[[#This Row],[EngagementScore]]&lt;=40,"Low",IF(Table1[[#This Row],[EngagementScore]]&lt;=70,"Medium","High"))</f>
        <v>Medium</v>
      </c>
      <c r="O540" t="str">
        <f>IF(Table1[[#This Row],[Age]]&lt;25,"18-24",
IF(Table1[[#This Row],[Age]]&lt;35,"25-34",
IF(Table1[[#This Row],[Age]]&lt;45,"35-44","45+")))</f>
        <v>35-44</v>
      </c>
    </row>
    <row r="541" spans="1:15" x14ac:dyDescent="0.25">
      <c r="A541" t="s">
        <v>550</v>
      </c>
      <c r="B541" s="4">
        <v>45418</v>
      </c>
      <c r="D541">
        <v>38</v>
      </c>
      <c r="E541" t="s">
        <v>912</v>
      </c>
      <c r="F541" t="s">
        <v>917</v>
      </c>
      <c r="G541" t="s">
        <v>920</v>
      </c>
      <c r="H541">
        <v>5458.08</v>
      </c>
      <c r="I541">
        <v>2</v>
      </c>
      <c r="J541">
        <v>22</v>
      </c>
      <c r="K541" t="s">
        <v>925</v>
      </c>
      <c r="L541" t="str">
        <f>IF(ISBLANK(Table1[[#This Row],[CancelDate]]),"Active","Churned")</f>
        <v>Active</v>
      </c>
      <c r="M541">
        <f ca="1">IF(ISBLANK(Table1[[#This Row],[CancelDate]]),DATEDIF(Table1[[#This Row],[JoinDate]],TODAY(),"M"),DATEDIF(Table1[[#This Row],[JoinDate]],Table1[[#This Row],[CancelDate]],"M"))</f>
        <v>22</v>
      </c>
      <c r="N541" t="str">
        <f>IF(Table1[[#This Row],[EngagementScore]]&lt;=40,"Low",IF(Table1[[#This Row],[EngagementScore]]&lt;=70,"Medium","High"))</f>
        <v>Low</v>
      </c>
      <c r="O541" t="str">
        <f>IF(Table1[[#This Row],[Age]]&lt;25,"18-24",
IF(Table1[[#This Row],[Age]]&lt;35,"25-34",
IF(Table1[[#This Row],[Age]]&lt;45,"35-44","45+")))</f>
        <v>35-44</v>
      </c>
    </row>
    <row r="542" spans="1:15" x14ac:dyDescent="0.25">
      <c r="A542" t="s">
        <v>551</v>
      </c>
      <c r="B542" s="4">
        <v>45006</v>
      </c>
      <c r="D542">
        <v>36</v>
      </c>
      <c r="E542" t="s">
        <v>911</v>
      </c>
      <c r="F542" t="s">
        <v>917</v>
      </c>
      <c r="G542" t="s">
        <v>920</v>
      </c>
      <c r="H542">
        <v>5919.83</v>
      </c>
      <c r="I542">
        <v>4</v>
      </c>
      <c r="J542">
        <v>39</v>
      </c>
      <c r="K542" t="s">
        <v>925</v>
      </c>
      <c r="L542" t="str">
        <f>IF(ISBLANK(Table1[[#This Row],[CancelDate]]),"Active","Churned")</f>
        <v>Active</v>
      </c>
      <c r="M542">
        <f ca="1">IF(ISBLANK(Table1[[#This Row],[CancelDate]]),DATEDIF(Table1[[#This Row],[JoinDate]],TODAY(),"M"),DATEDIF(Table1[[#This Row],[JoinDate]],Table1[[#This Row],[CancelDate]],"M"))</f>
        <v>36</v>
      </c>
      <c r="N542" t="str">
        <f>IF(Table1[[#This Row],[EngagementScore]]&lt;=40,"Low",IF(Table1[[#This Row],[EngagementScore]]&lt;=70,"Medium","High"))</f>
        <v>Low</v>
      </c>
      <c r="O542" t="str">
        <f>IF(Table1[[#This Row],[Age]]&lt;25,"18-24",
IF(Table1[[#This Row],[Age]]&lt;35,"25-34",
IF(Table1[[#This Row],[Age]]&lt;45,"35-44","45+")))</f>
        <v>35-44</v>
      </c>
    </row>
    <row r="543" spans="1:15" x14ac:dyDescent="0.25">
      <c r="A543" t="s">
        <v>552</v>
      </c>
      <c r="B543" s="4">
        <v>44776</v>
      </c>
      <c r="D543">
        <v>19</v>
      </c>
      <c r="E543" t="s">
        <v>912</v>
      </c>
      <c r="F543" t="s">
        <v>919</v>
      </c>
      <c r="G543" t="s">
        <v>922</v>
      </c>
      <c r="H543">
        <v>7480.04</v>
      </c>
      <c r="I543">
        <v>7</v>
      </c>
      <c r="J543">
        <v>67</v>
      </c>
      <c r="K543" t="s">
        <v>913</v>
      </c>
      <c r="L543" t="str">
        <f>IF(ISBLANK(Table1[[#This Row],[CancelDate]]),"Active","Churned")</f>
        <v>Active</v>
      </c>
      <c r="M543">
        <f ca="1">IF(ISBLANK(Table1[[#This Row],[CancelDate]]),DATEDIF(Table1[[#This Row],[JoinDate]],TODAY(),"M"),DATEDIF(Table1[[#This Row],[JoinDate]],Table1[[#This Row],[CancelDate]],"M"))</f>
        <v>43</v>
      </c>
      <c r="N543" t="str">
        <f>IF(Table1[[#This Row],[EngagementScore]]&lt;=40,"Low",IF(Table1[[#This Row],[EngagementScore]]&lt;=70,"Medium","High"))</f>
        <v>Medium</v>
      </c>
      <c r="O543" t="str">
        <f>IF(Table1[[#This Row],[Age]]&lt;25,"18-24",
IF(Table1[[#This Row],[Age]]&lt;35,"25-34",
IF(Table1[[#This Row],[Age]]&lt;45,"35-44","45+")))</f>
        <v>18-24</v>
      </c>
    </row>
    <row r="544" spans="1:15" x14ac:dyDescent="0.25">
      <c r="A544" t="s">
        <v>553</v>
      </c>
      <c r="B544" s="4">
        <v>44649</v>
      </c>
      <c r="C544" s="1">
        <v>45007</v>
      </c>
      <c r="D544">
        <v>32</v>
      </c>
      <c r="E544" t="s">
        <v>912</v>
      </c>
      <c r="F544" t="s">
        <v>917</v>
      </c>
      <c r="G544" t="s">
        <v>920</v>
      </c>
      <c r="H544">
        <v>13372.47</v>
      </c>
      <c r="I544">
        <v>5</v>
      </c>
      <c r="J544">
        <v>69</v>
      </c>
      <c r="K544" t="s">
        <v>924</v>
      </c>
      <c r="L544" t="str">
        <f>IF(ISBLANK(Table1[[#This Row],[CancelDate]]),"Active","Churned")</f>
        <v>Churned</v>
      </c>
      <c r="M544">
        <f ca="1">IF(ISBLANK(Table1[[#This Row],[CancelDate]]),DATEDIF(Table1[[#This Row],[JoinDate]],TODAY(),"M"),DATEDIF(Table1[[#This Row],[JoinDate]],Table1[[#This Row],[CancelDate]],"M"))</f>
        <v>11</v>
      </c>
      <c r="N544" t="str">
        <f>IF(Table1[[#This Row],[EngagementScore]]&lt;=40,"Low",IF(Table1[[#This Row],[EngagementScore]]&lt;=70,"Medium","High"))</f>
        <v>Medium</v>
      </c>
      <c r="O544" t="str">
        <f>IF(Table1[[#This Row],[Age]]&lt;25,"18-24",
IF(Table1[[#This Row],[Age]]&lt;35,"25-34",
IF(Table1[[#This Row],[Age]]&lt;45,"35-44","45+")))</f>
        <v>25-34</v>
      </c>
    </row>
    <row r="545" spans="1:15" x14ac:dyDescent="0.25">
      <c r="A545" t="s">
        <v>554</v>
      </c>
      <c r="B545" s="4">
        <v>45038</v>
      </c>
      <c r="D545">
        <v>42</v>
      </c>
      <c r="E545" t="s">
        <v>911</v>
      </c>
      <c r="F545" t="s">
        <v>917</v>
      </c>
      <c r="G545" t="s">
        <v>922</v>
      </c>
      <c r="H545">
        <v>6329.77</v>
      </c>
      <c r="I545">
        <v>11</v>
      </c>
      <c r="J545">
        <v>47</v>
      </c>
      <c r="K545" t="s">
        <v>925</v>
      </c>
      <c r="L545" t="str">
        <f>IF(ISBLANK(Table1[[#This Row],[CancelDate]]),"Active","Churned")</f>
        <v>Active</v>
      </c>
      <c r="M545">
        <f ca="1">IF(ISBLANK(Table1[[#This Row],[CancelDate]]),DATEDIF(Table1[[#This Row],[JoinDate]],TODAY(),"M"),DATEDIF(Table1[[#This Row],[JoinDate]],Table1[[#This Row],[CancelDate]],"M"))</f>
        <v>35</v>
      </c>
      <c r="N545" t="str">
        <f>IF(Table1[[#This Row],[EngagementScore]]&lt;=40,"Low",IF(Table1[[#This Row],[EngagementScore]]&lt;=70,"Medium","High"))</f>
        <v>Medium</v>
      </c>
      <c r="O545" t="str">
        <f>IF(Table1[[#This Row],[Age]]&lt;25,"18-24",
IF(Table1[[#This Row],[Age]]&lt;35,"25-34",
IF(Table1[[#This Row],[Age]]&lt;45,"35-44","45+")))</f>
        <v>35-44</v>
      </c>
    </row>
    <row r="546" spans="1:15" x14ac:dyDescent="0.25">
      <c r="A546" t="s">
        <v>555</v>
      </c>
      <c r="B546" s="4">
        <v>44805</v>
      </c>
      <c r="C546" s="1">
        <v>44843</v>
      </c>
      <c r="D546">
        <v>23</v>
      </c>
      <c r="E546" t="s">
        <v>912</v>
      </c>
      <c r="F546" t="s">
        <v>918</v>
      </c>
      <c r="G546" t="s">
        <v>921</v>
      </c>
      <c r="H546">
        <v>9786.6299999999992</v>
      </c>
      <c r="I546">
        <v>8</v>
      </c>
      <c r="J546">
        <v>42</v>
      </c>
      <c r="K546" t="s">
        <v>925</v>
      </c>
      <c r="L546" t="str">
        <f>IF(ISBLANK(Table1[[#This Row],[CancelDate]]),"Active","Churned")</f>
        <v>Churned</v>
      </c>
      <c r="M546">
        <f ca="1">IF(ISBLANK(Table1[[#This Row],[CancelDate]]),DATEDIF(Table1[[#This Row],[JoinDate]],TODAY(),"M"),DATEDIF(Table1[[#This Row],[JoinDate]],Table1[[#This Row],[CancelDate]],"M"))</f>
        <v>1</v>
      </c>
      <c r="N546" t="str">
        <f>IF(Table1[[#This Row],[EngagementScore]]&lt;=40,"Low",IF(Table1[[#This Row],[EngagementScore]]&lt;=70,"Medium","High"))</f>
        <v>Medium</v>
      </c>
      <c r="O546" t="str">
        <f>IF(Table1[[#This Row],[Age]]&lt;25,"18-24",
IF(Table1[[#This Row],[Age]]&lt;35,"25-34",
IF(Table1[[#This Row],[Age]]&lt;45,"35-44","45+")))</f>
        <v>18-24</v>
      </c>
    </row>
    <row r="547" spans="1:15" x14ac:dyDescent="0.25">
      <c r="A547" t="s">
        <v>556</v>
      </c>
      <c r="B547" s="4">
        <v>44938</v>
      </c>
      <c r="D547">
        <v>59</v>
      </c>
      <c r="E547" t="s">
        <v>911</v>
      </c>
      <c r="F547" t="s">
        <v>917</v>
      </c>
      <c r="G547" t="s">
        <v>920</v>
      </c>
      <c r="H547">
        <v>4441.3999999999996</v>
      </c>
      <c r="I547">
        <v>7</v>
      </c>
      <c r="J547">
        <v>26</v>
      </c>
      <c r="K547" t="s">
        <v>924</v>
      </c>
      <c r="L547" t="str">
        <f>IF(ISBLANK(Table1[[#This Row],[CancelDate]]),"Active","Churned")</f>
        <v>Active</v>
      </c>
      <c r="M547">
        <f ca="1">IF(ISBLANK(Table1[[#This Row],[CancelDate]]),DATEDIF(Table1[[#This Row],[JoinDate]],TODAY(),"M"),DATEDIF(Table1[[#This Row],[JoinDate]],Table1[[#This Row],[CancelDate]],"M"))</f>
        <v>38</v>
      </c>
      <c r="N547" t="str">
        <f>IF(Table1[[#This Row],[EngagementScore]]&lt;=40,"Low",IF(Table1[[#This Row],[EngagementScore]]&lt;=70,"Medium","High"))</f>
        <v>Low</v>
      </c>
      <c r="O547" t="str">
        <f>IF(Table1[[#This Row],[Age]]&lt;25,"18-24",
IF(Table1[[#This Row],[Age]]&lt;35,"25-34",
IF(Table1[[#This Row],[Age]]&lt;45,"35-44","45+")))</f>
        <v>45+</v>
      </c>
    </row>
    <row r="548" spans="1:15" x14ac:dyDescent="0.25">
      <c r="A548" t="s">
        <v>557</v>
      </c>
      <c r="B548" s="4">
        <v>44573</v>
      </c>
      <c r="C548" s="1">
        <v>44632</v>
      </c>
      <c r="D548">
        <v>50</v>
      </c>
      <c r="E548" t="s">
        <v>912</v>
      </c>
      <c r="F548" t="s">
        <v>915</v>
      </c>
      <c r="G548" t="s">
        <v>922</v>
      </c>
      <c r="H548">
        <v>13705.32</v>
      </c>
      <c r="I548">
        <v>12</v>
      </c>
      <c r="J548">
        <v>61</v>
      </c>
      <c r="K548" t="s">
        <v>925</v>
      </c>
      <c r="L548" t="str">
        <f>IF(ISBLANK(Table1[[#This Row],[CancelDate]]),"Active","Churned")</f>
        <v>Churned</v>
      </c>
      <c r="M548">
        <f ca="1">IF(ISBLANK(Table1[[#This Row],[CancelDate]]),DATEDIF(Table1[[#This Row],[JoinDate]],TODAY(),"M"),DATEDIF(Table1[[#This Row],[JoinDate]],Table1[[#This Row],[CancelDate]],"M"))</f>
        <v>2</v>
      </c>
      <c r="N548" t="str">
        <f>IF(Table1[[#This Row],[EngagementScore]]&lt;=40,"Low",IF(Table1[[#This Row],[EngagementScore]]&lt;=70,"Medium","High"))</f>
        <v>Medium</v>
      </c>
      <c r="O548" t="str">
        <f>IF(Table1[[#This Row],[Age]]&lt;25,"18-24",
IF(Table1[[#This Row],[Age]]&lt;35,"25-34",
IF(Table1[[#This Row],[Age]]&lt;45,"35-44","45+")))</f>
        <v>45+</v>
      </c>
    </row>
    <row r="549" spans="1:15" x14ac:dyDescent="0.25">
      <c r="A549" t="s">
        <v>558</v>
      </c>
      <c r="B549" s="4">
        <v>45447</v>
      </c>
      <c r="C549" s="1">
        <v>45720</v>
      </c>
      <c r="D549">
        <v>22</v>
      </c>
      <c r="E549" t="s">
        <v>911</v>
      </c>
      <c r="F549" t="s">
        <v>919</v>
      </c>
      <c r="G549" t="s">
        <v>922</v>
      </c>
      <c r="H549">
        <v>12077.16</v>
      </c>
      <c r="I549">
        <v>5</v>
      </c>
      <c r="J549">
        <v>52</v>
      </c>
      <c r="K549" t="s">
        <v>923</v>
      </c>
      <c r="L549" t="str">
        <f>IF(ISBLANK(Table1[[#This Row],[CancelDate]]),"Active","Churned")</f>
        <v>Churned</v>
      </c>
      <c r="M549">
        <f ca="1">IF(ISBLANK(Table1[[#This Row],[CancelDate]]),DATEDIF(Table1[[#This Row],[JoinDate]],TODAY(),"M"),DATEDIF(Table1[[#This Row],[JoinDate]],Table1[[#This Row],[CancelDate]],"M"))</f>
        <v>9</v>
      </c>
      <c r="N549" t="str">
        <f>IF(Table1[[#This Row],[EngagementScore]]&lt;=40,"Low",IF(Table1[[#This Row],[EngagementScore]]&lt;=70,"Medium","High"))</f>
        <v>Medium</v>
      </c>
      <c r="O549" t="str">
        <f>IF(Table1[[#This Row],[Age]]&lt;25,"18-24",
IF(Table1[[#This Row],[Age]]&lt;35,"25-34",
IF(Table1[[#This Row],[Age]]&lt;45,"35-44","45+")))</f>
        <v>18-24</v>
      </c>
    </row>
    <row r="550" spans="1:15" x14ac:dyDescent="0.25">
      <c r="A550" t="s">
        <v>559</v>
      </c>
      <c r="B550" s="4">
        <v>44968</v>
      </c>
      <c r="D550">
        <v>38</v>
      </c>
      <c r="E550" t="s">
        <v>912</v>
      </c>
      <c r="F550" t="s">
        <v>916</v>
      </c>
      <c r="G550" t="s">
        <v>920</v>
      </c>
      <c r="H550">
        <v>8481.09</v>
      </c>
      <c r="I550">
        <v>14</v>
      </c>
      <c r="J550">
        <v>68</v>
      </c>
      <c r="K550" t="s">
        <v>925</v>
      </c>
      <c r="L550" t="str">
        <f>IF(ISBLANK(Table1[[#This Row],[CancelDate]]),"Active","Churned")</f>
        <v>Active</v>
      </c>
      <c r="M550">
        <f ca="1">IF(ISBLANK(Table1[[#This Row],[CancelDate]]),DATEDIF(Table1[[#This Row],[JoinDate]],TODAY(),"M"),DATEDIF(Table1[[#This Row],[JoinDate]],Table1[[#This Row],[CancelDate]],"M"))</f>
        <v>37</v>
      </c>
      <c r="N550" t="str">
        <f>IF(Table1[[#This Row],[EngagementScore]]&lt;=40,"Low",IF(Table1[[#This Row],[EngagementScore]]&lt;=70,"Medium","High"))</f>
        <v>Medium</v>
      </c>
      <c r="O550" t="str">
        <f>IF(Table1[[#This Row],[Age]]&lt;25,"18-24",
IF(Table1[[#This Row],[Age]]&lt;35,"25-34",
IF(Table1[[#This Row],[Age]]&lt;45,"35-44","45+")))</f>
        <v>35-44</v>
      </c>
    </row>
    <row r="551" spans="1:15" x14ac:dyDescent="0.25">
      <c r="A551" t="s">
        <v>560</v>
      </c>
      <c r="B551" s="4">
        <v>45396</v>
      </c>
      <c r="D551">
        <v>49</v>
      </c>
      <c r="E551" t="s">
        <v>911</v>
      </c>
      <c r="F551" t="s">
        <v>916</v>
      </c>
      <c r="G551" t="s">
        <v>922</v>
      </c>
      <c r="H551">
        <v>7847.7</v>
      </c>
      <c r="I551">
        <v>1</v>
      </c>
      <c r="J551">
        <v>28</v>
      </c>
      <c r="K551" t="s">
        <v>924</v>
      </c>
      <c r="L551" t="str">
        <f>IF(ISBLANK(Table1[[#This Row],[CancelDate]]),"Active","Churned")</f>
        <v>Active</v>
      </c>
      <c r="M551">
        <f ca="1">IF(ISBLANK(Table1[[#This Row],[CancelDate]]),DATEDIF(Table1[[#This Row],[JoinDate]],TODAY(),"M"),DATEDIF(Table1[[#This Row],[JoinDate]],Table1[[#This Row],[CancelDate]],"M"))</f>
        <v>23</v>
      </c>
      <c r="N551" t="str">
        <f>IF(Table1[[#This Row],[EngagementScore]]&lt;=40,"Low",IF(Table1[[#This Row],[EngagementScore]]&lt;=70,"Medium","High"))</f>
        <v>Low</v>
      </c>
      <c r="O551" t="str">
        <f>IF(Table1[[#This Row],[Age]]&lt;25,"18-24",
IF(Table1[[#This Row],[Age]]&lt;35,"25-34",
IF(Table1[[#This Row],[Age]]&lt;45,"35-44","45+")))</f>
        <v>45+</v>
      </c>
    </row>
    <row r="552" spans="1:15" x14ac:dyDescent="0.25">
      <c r="A552" t="s">
        <v>561</v>
      </c>
      <c r="B552" s="4">
        <v>44655</v>
      </c>
      <c r="C552" s="1">
        <v>44923</v>
      </c>
      <c r="D552">
        <v>50</v>
      </c>
      <c r="E552" t="s">
        <v>912</v>
      </c>
      <c r="F552" t="s">
        <v>915</v>
      </c>
      <c r="G552" t="s">
        <v>921</v>
      </c>
      <c r="H552">
        <v>11954.87</v>
      </c>
      <c r="I552">
        <v>8</v>
      </c>
      <c r="J552">
        <v>42</v>
      </c>
      <c r="K552" t="s">
        <v>923</v>
      </c>
      <c r="L552" t="str">
        <f>IF(ISBLANK(Table1[[#This Row],[CancelDate]]),"Active","Churned")</f>
        <v>Churned</v>
      </c>
      <c r="M552">
        <f ca="1">IF(ISBLANK(Table1[[#This Row],[CancelDate]]),DATEDIF(Table1[[#This Row],[JoinDate]],TODAY(),"M"),DATEDIF(Table1[[#This Row],[JoinDate]],Table1[[#This Row],[CancelDate]],"M"))</f>
        <v>8</v>
      </c>
      <c r="N552" t="str">
        <f>IF(Table1[[#This Row],[EngagementScore]]&lt;=40,"Low",IF(Table1[[#This Row],[EngagementScore]]&lt;=70,"Medium","High"))</f>
        <v>Medium</v>
      </c>
      <c r="O552" t="str">
        <f>IF(Table1[[#This Row],[Age]]&lt;25,"18-24",
IF(Table1[[#This Row],[Age]]&lt;35,"25-34",
IF(Table1[[#This Row],[Age]]&lt;45,"35-44","45+")))</f>
        <v>45+</v>
      </c>
    </row>
    <row r="553" spans="1:15" x14ac:dyDescent="0.25">
      <c r="A553" t="s">
        <v>562</v>
      </c>
      <c r="B553" s="4">
        <v>44921</v>
      </c>
      <c r="C553" s="1">
        <v>45228</v>
      </c>
      <c r="D553">
        <v>47</v>
      </c>
      <c r="E553" t="s">
        <v>912</v>
      </c>
      <c r="F553" t="s">
        <v>916</v>
      </c>
      <c r="G553" t="s">
        <v>922</v>
      </c>
      <c r="H553">
        <v>10697.55</v>
      </c>
      <c r="I553">
        <v>14</v>
      </c>
      <c r="J553">
        <v>57</v>
      </c>
      <c r="K553" t="s">
        <v>925</v>
      </c>
      <c r="L553" t="str">
        <f>IF(ISBLANK(Table1[[#This Row],[CancelDate]]),"Active","Churned")</f>
        <v>Churned</v>
      </c>
      <c r="M553">
        <f ca="1">IF(ISBLANK(Table1[[#This Row],[CancelDate]]),DATEDIF(Table1[[#This Row],[JoinDate]],TODAY(),"M"),DATEDIF(Table1[[#This Row],[JoinDate]],Table1[[#This Row],[CancelDate]],"M"))</f>
        <v>10</v>
      </c>
      <c r="N553" t="str">
        <f>IF(Table1[[#This Row],[EngagementScore]]&lt;=40,"Low",IF(Table1[[#This Row],[EngagementScore]]&lt;=70,"Medium","High"))</f>
        <v>Medium</v>
      </c>
      <c r="O553" t="str">
        <f>IF(Table1[[#This Row],[Age]]&lt;25,"18-24",
IF(Table1[[#This Row],[Age]]&lt;35,"25-34",
IF(Table1[[#This Row],[Age]]&lt;45,"35-44","45+")))</f>
        <v>45+</v>
      </c>
    </row>
    <row r="554" spans="1:15" x14ac:dyDescent="0.25">
      <c r="A554" t="s">
        <v>563</v>
      </c>
      <c r="B554" s="4">
        <v>45435</v>
      </c>
      <c r="D554">
        <v>28</v>
      </c>
      <c r="E554" t="s">
        <v>912</v>
      </c>
      <c r="F554" t="s">
        <v>917</v>
      </c>
      <c r="G554" t="s">
        <v>922</v>
      </c>
      <c r="H554">
        <v>28403.29</v>
      </c>
      <c r="I554">
        <v>24</v>
      </c>
      <c r="J554">
        <v>86</v>
      </c>
      <c r="K554" t="s">
        <v>923</v>
      </c>
      <c r="L554" t="str">
        <f>IF(ISBLANK(Table1[[#This Row],[CancelDate]]),"Active","Churned")</f>
        <v>Active</v>
      </c>
      <c r="M554">
        <f ca="1">IF(ISBLANK(Table1[[#This Row],[CancelDate]]),DATEDIF(Table1[[#This Row],[JoinDate]],TODAY(),"M"),DATEDIF(Table1[[#This Row],[JoinDate]],Table1[[#This Row],[CancelDate]],"M"))</f>
        <v>22</v>
      </c>
      <c r="N554" t="str">
        <f>IF(Table1[[#This Row],[EngagementScore]]&lt;=40,"Low",IF(Table1[[#This Row],[EngagementScore]]&lt;=70,"Medium","High"))</f>
        <v>High</v>
      </c>
      <c r="O554" t="str">
        <f>IF(Table1[[#This Row],[Age]]&lt;25,"18-24",
IF(Table1[[#This Row],[Age]]&lt;35,"25-34",
IF(Table1[[#This Row],[Age]]&lt;45,"35-44","45+")))</f>
        <v>25-34</v>
      </c>
    </row>
    <row r="555" spans="1:15" x14ac:dyDescent="0.25">
      <c r="A555" t="s">
        <v>564</v>
      </c>
      <c r="B555" s="4">
        <v>44872</v>
      </c>
      <c r="D555">
        <v>45</v>
      </c>
      <c r="E555" t="s">
        <v>911</v>
      </c>
      <c r="F555" t="s">
        <v>917</v>
      </c>
      <c r="G555" t="s">
        <v>922</v>
      </c>
      <c r="H555">
        <v>3934.67</v>
      </c>
      <c r="I555">
        <v>4</v>
      </c>
      <c r="J555">
        <v>33</v>
      </c>
      <c r="K555" t="s">
        <v>925</v>
      </c>
      <c r="L555" t="str">
        <f>IF(ISBLANK(Table1[[#This Row],[CancelDate]]),"Active","Churned")</f>
        <v>Active</v>
      </c>
      <c r="M555">
        <f ca="1">IF(ISBLANK(Table1[[#This Row],[CancelDate]]),DATEDIF(Table1[[#This Row],[JoinDate]],TODAY(),"M"),DATEDIF(Table1[[#This Row],[JoinDate]],Table1[[#This Row],[CancelDate]],"M"))</f>
        <v>40</v>
      </c>
      <c r="N555" t="str">
        <f>IF(Table1[[#This Row],[EngagementScore]]&lt;=40,"Low",IF(Table1[[#This Row],[EngagementScore]]&lt;=70,"Medium","High"))</f>
        <v>Low</v>
      </c>
      <c r="O555" t="str">
        <f>IF(Table1[[#This Row],[Age]]&lt;25,"18-24",
IF(Table1[[#This Row],[Age]]&lt;35,"25-34",
IF(Table1[[#This Row],[Age]]&lt;45,"35-44","45+")))</f>
        <v>45+</v>
      </c>
    </row>
    <row r="556" spans="1:15" x14ac:dyDescent="0.25">
      <c r="A556" t="s">
        <v>565</v>
      </c>
      <c r="B556" s="4">
        <v>45244</v>
      </c>
      <c r="C556" s="1">
        <v>45605</v>
      </c>
      <c r="D556">
        <v>41</v>
      </c>
      <c r="E556" t="s">
        <v>911</v>
      </c>
      <c r="F556" t="s">
        <v>914</v>
      </c>
      <c r="G556" t="s">
        <v>920</v>
      </c>
      <c r="H556">
        <v>6529.13</v>
      </c>
      <c r="I556">
        <v>4</v>
      </c>
      <c r="J556">
        <v>20</v>
      </c>
      <c r="K556" t="s">
        <v>925</v>
      </c>
      <c r="L556" t="str">
        <f>IF(ISBLANK(Table1[[#This Row],[CancelDate]]),"Active","Churned")</f>
        <v>Churned</v>
      </c>
      <c r="M556">
        <f ca="1">IF(ISBLANK(Table1[[#This Row],[CancelDate]]),DATEDIF(Table1[[#This Row],[JoinDate]],TODAY(),"M"),DATEDIF(Table1[[#This Row],[JoinDate]],Table1[[#This Row],[CancelDate]],"M"))</f>
        <v>11</v>
      </c>
      <c r="N556" t="str">
        <f>IF(Table1[[#This Row],[EngagementScore]]&lt;=40,"Low",IF(Table1[[#This Row],[EngagementScore]]&lt;=70,"Medium","High"))</f>
        <v>Low</v>
      </c>
      <c r="O556" t="str">
        <f>IF(Table1[[#This Row],[Age]]&lt;25,"18-24",
IF(Table1[[#This Row],[Age]]&lt;35,"25-34",
IF(Table1[[#This Row],[Age]]&lt;45,"35-44","45+")))</f>
        <v>35-44</v>
      </c>
    </row>
    <row r="557" spans="1:15" x14ac:dyDescent="0.25">
      <c r="A557" t="s">
        <v>566</v>
      </c>
      <c r="B557" s="4">
        <v>45324</v>
      </c>
      <c r="D557">
        <v>28</v>
      </c>
      <c r="E557" t="s">
        <v>911</v>
      </c>
      <c r="F557" t="s">
        <v>918</v>
      </c>
      <c r="G557" t="s">
        <v>922</v>
      </c>
      <c r="H557">
        <v>6223.55</v>
      </c>
      <c r="I557">
        <v>7</v>
      </c>
      <c r="J557">
        <v>69</v>
      </c>
      <c r="K557" t="s">
        <v>924</v>
      </c>
      <c r="L557" t="str">
        <f>IF(ISBLANK(Table1[[#This Row],[CancelDate]]),"Active","Churned")</f>
        <v>Active</v>
      </c>
      <c r="M557">
        <f ca="1">IF(ISBLANK(Table1[[#This Row],[CancelDate]]),DATEDIF(Table1[[#This Row],[JoinDate]],TODAY(),"M"),DATEDIF(Table1[[#This Row],[JoinDate]],Table1[[#This Row],[CancelDate]],"M"))</f>
        <v>26</v>
      </c>
      <c r="N557" t="str">
        <f>IF(Table1[[#This Row],[EngagementScore]]&lt;=40,"Low",IF(Table1[[#This Row],[EngagementScore]]&lt;=70,"Medium","High"))</f>
        <v>Medium</v>
      </c>
      <c r="O557" t="str">
        <f>IF(Table1[[#This Row],[Age]]&lt;25,"18-24",
IF(Table1[[#This Row],[Age]]&lt;35,"25-34",
IF(Table1[[#This Row],[Age]]&lt;45,"35-44","45+")))</f>
        <v>25-34</v>
      </c>
    </row>
    <row r="558" spans="1:15" x14ac:dyDescent="0.25">
      <c r="A558" t="s">
        <v>567</v>
      </c>
      <c r="B558" s="4">
        <v>44954</v>
      </c>
      <c r="D558">
        <v>35</v>
      </c>
      <c r="E558" t="s">
        <v>912</v>
      </c>
      <c r="F558" t="s">
        <v>915</v>
      </c>
      <c r="G558" t="s">
        <v>920</v>
      </c>
      <c r="H558">
        <v>5583</v>
      </c>
      <c r="I558">
        <v>2</v>
      </c>
      <c r="J558">
        <v>15</v>
      </c>
      <c r="K558" t="s">
        <v>924</v>
      </c>
      <c r="L558" t="str">
        <f>IF(ISBLANK(Table1[[#This Row],[CancelDate]]),"Active","Churned")</f>
        <v>Active</v>
      </c>
      <c r="M558">
        <f ca="1">IF(ISBLANK(Table1[[#This Row],[CancelDate]]),DATEDIF(Table1[[#This Row],[JoinDate]],TODAY(),"M"),DATEDIF(Table1[[#This Row],[JoinDate]],Table1[[#This Row],[CancelDate]],"M"))</f>
        <v>38</v>
      </c>
      <c r="N558" t="str">
        <f>IF(Table1[[#This Row],[EngagementScore]]&lt;=40,"Low",IF(Table1[[#This Row],[EngagementScore]]&lt;=70,"Medium","High"))</f>
        <v>Low</v>
      </c>
      <c r="O558" t="str">
        <f>IF(Table1[[#This Row],[Age]]&lt;25,"18-24",
IF(Table1[[#This Row],[Age]]&lt;35,"25-34",
IF(Table1[[#This Row],[Age]]&lt;45,"35-44","45+")))</f>
        <v>35-44</v>
      </c>
    </row>
    <row r="559" spans="1:15" x14ac:dyDescent="0.25">
      <c r="A559" t="s">
        <v>568</v>
      </c>
      <c r="B559" s="4">
        <v>45240</v>
      </c>
      <c r="C559" s="1">
        <v>45371</v>
      </c>
      <c r="D559">
        <v>58</v>
      </c>
      <c r="E559" t="s">
        <v>911</v>
      </c>
      <c r="F559" t="s">
        <v>915</v>
      </c>
      <c r="G559" t="s">
        <v>922</v>
      </c>
      <c r="H559">
        <v>7837.79</v>
      </c>
      <c r="I559">
        <v>5</v>
      </c>
      <c r="J559">
        <v>40</v>
      </c>
      <c r="K559" t="s">
        <v>925</v>
      </c>
      <c r="L559" t="str">
        <f>IF(ISBLANK(Table1[[#This Row],[CancelDate]]),"Active","Churned")</f>
        <v>Churned</v>
      </c>
      <c r="M559">
        <f ca="1">IF(ISBLANK(Table1[[#This Row],[CancelDate]]),DATEDIF(Table1[[#This Row],[JoinDate]],TODAY(),"M"),DATEDIF(Table1[[#This Row],[JoinDate]],Table1[[#This Row],[CancelDate]],"M"))</f>
        <v>4</v>
      </c>
      <c r="N559" t="str">
        <f>IF(Table1[[#This Row],[EngagementScore]]&lt;=40,"Low",IF(Table1[[#This Row],[EngagementScore]]&lt;=70,"Medium","High"))</f>
        <v>Low</v>
      </c>
      <c r="O559" t="str">
        <f>IF(Table1[[#This Row],[Age]]&lt;25,"18-24",
IF(Table1[[#This Row],[Age]]&lt;35,"25-34",
IF(Table1[[#This Row],[Age]]&lt;45,"35-44","45+")))</f>
        <v>45+</v>
      </c>
    </row>
    <row r="560" spans="1:15" x14ac:dyDescent="0.25">
      <c r="A560" t="s">
        <v>569</v>
      </c>
      <c r="B560" s="4">
        <v>44652</v>
      </c>
      <c r="C560" s="1">
        <v>44843</v>
      </c>
      <c r="D560">
        <v>39</v>
      </c>
      <c r="E560" t="s">
        <v>912</v>
      </c>
      <c r="F560" t="s">
        <v>917</v>
      </c>
      <c r="G560" t="s">
        <v>920</v>
      </c>
      <c r="H560">
        <v>9156.81</v>
      </c>
      <c r="I560">
        <v>8</v>
      </c>
      <c r="J560">
        <v>55</v>
      </c>
      <c r="K560" t="s">
        <v>925</v>
      </c>
      <c r="L560" t="str">
        <f>IF(ISBLANK(Table1[[#This Row],[CancelDate]]),"Active","Churned")</f>
        <v>Churned</v>
      </c>
      <c r="M560">
        <f ca="1">IF(ISBLANK(Table1[[#This Row],[CancelDate]]),DATEDIF(Table1[[#This Row],[JoinDate]],TODAY(),"M"),DATEDIF(Table1[[#This Row],[JoinDate]],Table1[[#This Row],[CancelDate]],"M"))</f>
        <v>6</v>
      </c>
      <c r="N560" t="str">
        <f>IF(Table1[[#This Row],[EngagementScore]]&lt;=40,"Low",IF(Table1[[#This Row],[EngagementScore]]&lt;=70,"Medium","High"))</f>
        <v>Medium</v>
      </c>
      <c r="O560" t="str">
        <f>IF(Table1[[#This Row],[Age]]&lt;25,"18-24",
IF(Table1[[#This Row],[Age]]&lt;35,"25-34",
IF(Table1[[#This Row],[Age]]&lt;45,"35-44","45+")))</f>
        <v>35-44</v>
      </c>
    </row>
    <row r="561" spans="1:15" x14ac:dyDescent="0.25">
      <c r="A561" t="s">
        <v>570</v>
      </c>
      <c r="B561" s="4">
        <v>44707</v>
      </c>
      <c r="C561" s="1">
        <v>44806</v>
      </c>
      <c r="D561">
        <v>56</v>
      </c>
      <c r="E561" t="s">
        <v>911</v>
      </c>
      <c r="F561" t="s">
        <v>919</v>
      </c>
      <c r="G561" t="s">
        <v>921</v>
      </c>
      <c r="H561">
        <v>11127.51</v>
      </c>
      <c r="I561">
        <v>12</v>
      </c>
      <c r="J561">
        <v>69</v>
      </c>
      <c r="K561" t="s">
        <v>924</v>
      </c>
      <c r="L561" t="str">
        <f>IF(ISBLANK(Table1[[#This Row],[CancelDate]]),"Active","Churned")</f>
        <v>Churned</v>
      </c>
      <c r="M561">
        <f ca="1">IF(ISBLANK(Table1[[#This Row],[CancelDate]]),DATEDIF(Table1[[#This Row],[JoinDate]],TODAY(),"M"),DATEDIF(Table1[[#This Row],[JoinDate]],Table1[[#This Row],[CancelDate]],"M"))</f>
        <v>3</v>
      </c>
      <c r="N561" t="str">
        <f>IF(Table1[[#This Row],[EngagementScore]]&lt;=40,"Low",IF(Table1[[#This Row],[EngagementScore]]&lt;=70,"Medium","High"))</f>
        <v>Medium</v>
      </c>
      <c r="O561" t="str">
        <f>IF(Table1[[#This Row],[Age]]&lt;25,"18-24",
IF(Table1[[#This Row],[Age]]&lt;35,"25-34",
IF(Table1[[#This Row],[Age]]&lt;45,"35-44","45+")))</f>
        <v>45+</v>
      </c>
    </row>
    <row r="562" spans="1:15" x14ac:dyDescent="0.25">
      <c r="A562" t="s">
        <v>571</v>
      </c>
      <c r="B562" s="4">
        <v>44706</v>
      </c>
      <c r="D562">
        <v>26</v>
      </c>
      <c r="E562" t="s">
        <v>911</v>
      </c>
      <c r="F562" t="s">
        <v>918</v>
      </c>
      <c r="G562" t="s">
        <v>921</v>
      </c>
      <c r="H562">
        <v>27607.47</v>
      </c>
      <c r="I562">
        <v>16</v>
      </c>
      <c r="J562">
        <v>99</v>
      </c>
      <c r="K562" t="s">
        <v>925</v>
      </c>
      <c r="L562" t="str">
        <f>IF(ISBLANK(Table1[[#This Row],[CancelDate]]),"Active","Churned")</f>
        <v>Active</v>
      </c>
      <c r="M562">
        <f ca="1">IF(ISBLANK(Table1[[#This Row],[CancelDate]]),DATEDIF(Table1[[#This Row],[JoinDate]],TODAY(),"M"),DATEDIF(Table1[[#This Row],[JoinDate]],Table1[[#This Row],[CancelDate]],"M"))</f>
        <v>46</v>
      </c>
      <c r="N562" t="str">
        <f>IF(Table1[[#This Row],[EngagementScore]]&lt;=40,"Low",IF(Table1[[#This Row],[EngagementScore]]&lt;=70,"Medium","High"))</f>
        <v>High</v>
      </c>
      <c r="O562" t="str">
        <f>IF(Table1[[#This Row],[Age]]&lt;25,"18-24",
IF(Table1[[#This Row],[Age]]&lt;35,"25-34",
IF(Table1[[#This Row],[Age]]&lt;45,"35-44","45+")))</f>
        <v>25-34</v>
      </c>
    </row>
    <row r="563" spans="1:15" x14ac:dyDescent="0.25">
      <c r="A563" t="s">
        <v>572</v>
      </c>
      <c r="B563" s="4">
        <v>45145</v>
      </c>
      <c r="D563">
        <v>28</v>
      </c>
      <c r="E563" t="s">
        <v>911</v>
      </c>
      <c r="F563" t="s">
        <v>917</v>
      </c>
      <c r="G563" t="s">
        <v>922</v>
      </c>
      <c r="H563">
        <v>19465.12</v>
      </c>
      <c r="I563">
        <v>21</v>
      </c>
      <c r="J563">
        <v>90</v>
      </c>
      <c r="K563" t="s">
        <v>923</v>
      </c>
      <c r="L563" t="str">
        <f>IF(ISBLANK(Table1[[#This Row],[CancelDate]]),"Active","Churned")</f>
        <v>Active</v>
      </c>
      <c r="M563">
        <f ca="1">IF(ISBLANK(Table1[[#This Row],[CancelDate]]),DATEDIF(Table1[[#This Row],[JoinDate]],TODAY(),"M"),DATEDIF(Table1[[#This Row],[JoinDate]],Table1[[#This Row],[CancelDate]],"M"))</f>
        <v>31</v>
      </c>
      <c r="N563" t="str">
        <f>IF(Table1[[#This Row],[EngagementScore]]&lt;=40,"Low",IF(Table1[[#This Row],[EngagementScore]]&lt;=70,"Medium","High"))</f>
        <v>High</v>
      </c>
      <c r="O563" t="str">
        <f>IF(Table1[[#This Row],[Age]]&lt;25,"18-24",
IF(Table1[[#This Row],[Age]]&lt;35,"25-34",
IF(Table1[[#This Row],[Age]]&lt;45,"35-44","45+")))</f>
        <v>25-34</v>
      </c>
    </row>
    <row r="564" spans="1:15" x14ac:dyDescent="0.25">
      <c r="A564" t="s">
        <v>573</v>
      </c>
      <c r="B564" s="4">
        <v>45192</v>
      </c>
      <c r="C564" s="1">
        <v>45480</v>
      </c>
      <c r="D564">
        <v>21</v>
      </c>
      <c r="E564" t="s">
        <v>911</v>
      </c>
      <c r="F564" t="s">
        <v>916</v>
      </c>
      <c r="G564" t="s">
        <v>920</v>
      </c>
      <c r="H564">
        <v>10272.44</v>
      </c>
      <c r="I564">
        <v>6</v>
      </c>
      <c r="J564">
        <v>59</v>
      </c>
      <c r="K564" t="s">
        <v>925</v>
      </c>
      <c r="L564" t="str">
        <f>IF(ISBLANK(Table1[[#This Row],[CancelDate]]),"Active","Churned")</f>
        <v>Churned</v>
      </c>
      <c r="M564">
        <f ca="1">IF(ISBLANK(Table1[[#This Row],[CancelDate]]),DATEDIF(Table1[[#This Row],[JoinDate]],TODAY(),"M"),DATEDIF(Table1[[#This Row],[JoinDate]],Table1[[#This Row],[CancelDate]],"M"))</f>
        <v>9</v>
      </c>
      <c r="N564" t="str">
        <f>IF(Table1[[#This Row],[EngagementScore]]&lt;=40,"Low",IF(Table1[[#This Row],[EngagementScore]]&lt;=70,"Medium","High"))</f>
        <v>Medium</v>
      </c>
      <c r="O564" t="str">
        <f>IF(Table1[[#This Row],[Age]]&lt;25,"18-24",
IF(Table1[[#This Row],[Age]]&lt;35,"25-34",
IF(Table1[[#This Row],[Age]]&lt;45,"35-44","45+")))</f>
        <v>18-24</v>
      </c>
    </row>
    <row r="565" spans="1:15" x14ac:dyDescent="0.25">
      <c r="A565" t="s">
        <v>574</v>
      </c>
      <c r="B565" s="4">
        <v>44618</v>
      </c>
      <c r="C565" s="1">
        <v>44887</v>
      </c>
      <c r="D565">
        <v>48</v>
      </c>
      <c r="E565" t="s">
        <v>912</v>
      </c>
      <c r="F565" t="s">
        <v>915</v>
      </c>
      <c r="G565" t="s">
        <v>920</v>
      </c>
      <c r="H565">
        <v>4681.5200000000004</v>
      </c>
      <c r="I565">
        <v>1</v>
      </c>
      <c r="J565">
        <v>11</v>
      </c>
      <c r="K565" t="s">
        <v>925</v>
      </c>
      <c r="L565" t="str">
        <f>IF(ISBLANK(Table1[[#This Row],[CancelDate]]),"Active","Churned")</f>
        <v>Churned</v>
      </c>
      <c r="M565">
        <f ca="1">IF(ISBLANK(Table1[[#This Row],[CancelDate]]),DATEDIF(Table1[[#This Row],[JoinDate]],TODAY(),"M"),DATEDIF(Table1[[#This Row],[JoinDate]],Table1[[#This Row],[CancelDate]],"M"))</f>
        <v>8</v>
      </c>
      <c r="N565" t="str">
        <f>IF(Table1[[#This Row],[EngagementScore]]&lt;=40,"Low",IF(Table1[[#This Row],[EngagementScore]]&lt;=70,"Medium","High"))</f>
        <v>Low</v>
      </c>
      <c r="O565" t="str">
        <f>IF(Table1[[#This Row],[Age]]&lt;25,"18-24",
IF(Table1[[#This Row],[Age]]&lt;35,"25-34",
IF(Table1[[#This Row],[Age]]&lt;45,"35-44","45+")))</f>
        <v>45+</v>
      </c>
    </row>
    <row r="566" spans="1:15" x14ac:dyDescent="0.25">
      <c r="A566" t="s">
        <v>575</v>
      </c>
      <c r="B566" s="4">
        <v>44807</v>
      </c>
      <c r="D566">
        <v>20</v>
      </c>
      <c r="E566" t="s">
        <v>911</v>
      </c>
      <c r="F566" t="s">
        <v>915</v>
      </c>
      <c r="G566" t="s">
        <v>922</v>
      </c>
      <c r="H566">
        <v>15519.57</v>
      </c>
      <c r="I566">
        <v>13</v>
      </c>
      <c r="J566">
        <v>70</v>
      </c>
      <c r="K566" t="s">
        <v>925</v>
      </c>
      <c r="L566" t="str">
        <f>IF(ISBLANK(Table1[[#This Row],[CancelDate]]),"Active","Churned")</f>
        <v>Active</v>
      </c>
      <c r="M566">
        <f ca="1">IF(ISBLANK(Table1[[#This Row],[CancelDate]]),DATEDIF(Table1[[#This Row],[JoinDate]],TODAY(),"M"),DATEDIF(Table1[[#This Row],[JoinDate]],Table1[[#This Row],[CancelDate]],"M"))</f>
        <v>42</v>
      </c>
      <c r="N566" t="str">
        <f>IF(Table1[[#This Row],[EngagementScore]]&lt;=40,"Low",IF(Table1[[#This Row],[EngagementScore]]&lt;=70,"Medium","High"))</f>
        <v>Medium</v>
      </c>
      <c r="O566" t="str">
        <f>IF(Table1[[#This Row],[Age]]&lt;25,"18-24",
IF(Table1[[#This Row],[Age]]&lt;35,"25-34",
IF(Table1[[#This Row],[Age]]&lt;45,"35-44","45+")))</f>
        <v>18-24</v>
      </c>
    </row>
    <row r="567" spans="1:15" x14ac:dyDescent="0.25">
      <c r="A567" t="s">
        <v>576</v>
      </c>
      <c r="B567" s="4">
        <v>45334</v>
      </c>
      <c r="D567">
        <v>18</v>
      </c>
      <c r="E567" t="s">
        <v>912</v>
      </c>
      <c r="F567" t="s">
        <v>917</v>
      </c>
      <c r="G567" t="s">
        <v>921</v>
      </c>
      <c r="H567">
        <v>7403.2</v>
      </c>
      <c r="I567">
        <v>4</v>
      </c>
      <c r="J567">
        <v>15</v>
      </c>
      <c r="K567" t="s">
        <v>923</v>
      </c>
      <c r="L567" t="str">
        <f>IF(ISBLANK(Table1[[#This Row],[CancelDate]]),"Active","Churned")</f>
        <v>Active</v>
      </c>
      <c r="M567">
        <f ca="1">IF(ISBLANK(Table1[[#This Row],[CancelDate]]),DATEDIF(Table1[[#This Row],[JoinDate]],TODAY(),"M"),DATEDIF(Table1[[#This Row],[JoinDate]],Table1[[#This Row],[CancelDate]],"M"))</f>
        <v>25</v>
      </c>
      <c r="N567" t="str">
        <f>IF(Table1[[#This Row],[EngagementScore]]&lt;=40,"Low",IF(Table1[[#This Row],[EngagementScore]]&lt;=70,"Medium","High"))</f>
        <v>Low</v>
      </c>
      <c r="O567" t="str">
        <f>IF(Table1[[#This Row],[Age]]&lt;25,"18-24",
IF(Table1[[#This Row],[Age]]&lt;35,"25-34",
IF(Table1[[#This Row],[Age]]&lt;45,"35-44","45+")))</f>
        <v>18-24</v>
      </c>
    </row>
    <row r="568" spans="1:15" x14ac:dyDescent="0.25">
      <c r="A568" t="s">
        <v>577</v>
      </c>
      <c r="B568" s="4">
        <v>45328</v>
      </c>
      <c r="D568">
        <v>55</v>
      </c>
      <c r="E568" t="s">
        <v>912</v>
      </c>
      <c r="F568" t="s">
        <v>915</v>
      </c>
      <c r="G568" t="s">
        <v>921</v>
      </c>
      <c r="H568">
        <v>5978.89</v>
      </c>
      <c r="I568">
        <v>7</v>
      </c>
      <c r="J568">
        <v>49</v>
      </c>
      <c r="K568" t="s">
        <v>923</v>
      </c>
      <c r="L568" t="str">
        <f>IF(ISBLANK(Table1[[#This Row],[CancelDate]]),"Active","Churned")</f>
        <v>Active</v>
      </c>
      <c r="M568">
        <f ca="1">IF(ISBLANK(Table1[[#This Row],[CancelDate]]),DATEDIF(Table1[[#This Row],[JoinDate]],TODAY(),"M"),DATEDIF(Table1[[#This Row],[JoinDate]],Table1[[#This Row],[CancelDate]],"M"))</f>
        <v>25</v>
      </c>
      <c r="N568" t="str">
        <f>IF(Table1[[#This Row],[EngagementScore]]&lt;=40,"Low",IF(Table1[[#This Row],[EngagementScore]]&lt;=70,"Medium","High"))</f>
        <v>Medium</v>
      </c>
      <c r="O568" t="str">
        <f>IF(Table1[[#This Row],[Age]]&lt;25,"18-24",
IF(Table1[[#This Row],[Age]]&lt;35,"25-34",
IF(Table1[[#This Row],[Age]]&lt;45,"35-44","45+")))</f>
        <v>45+</v>
      </c>
    </row>
    <row r="569" spans="1:15" x14ac:dyDescent="0.25">
      <c r="A569" t="s">
        <v>578</v>
      </c>
      <c r="B569" s="4">
        <v>44736</v>
      </c>
      <c r="C569" s="1">
        <v>44877</v>
      </c>
      <c r="D569">
        <v>56</v>
      </c>
      <c r="E569" t="s">
        <v>911</v>
      </c>
      <c r="F569" t="s">
        <v>915</v>
      </c>
      <c r="G569" t="s">
        <v>921</v>
      </c>
      <c r="H569">
        <v>9777</v>
      </c>
      <c r="I569">
        <v>6</v>
      </c>
      <c r="J569">
        <v>55</v>
      </c>
      <c r="K569" t="s">
        <v>924</v>
      </c>
      <c r="L569" t="str">
        <f>IF(ISBLANK(Table1[[#This Row],[CancelDate]]),"Active","Churned")</f>
        <v>Churned</v>
      </c>
      <c r="M569">
        <f ca="1">IF(ISBLANK(Table1[[#This Row],[CancelDate]]),DATEDIF(Table1[[#This Row],[JoinDate]],TODAY(),"M"),DATEDIF(Table1[[#This Row],[JoinDate]],Table1[[#This Row],[CancelDate]],"M"))</f>
        <v>4</v>
      </c>
      <c r="N569" t="str">
        <f>IF(Table1[[#This Row],[EngagementScore]]&lt;=40,"Low",IF(Table1[[#This Row],[EngagementScore]]&lt;=70,"Medium","High"))</f>
        <v>Medium</v>
      </c>
      <c r="O569" t="str">
        <f>IF(Table1[[#This Row],[Age]]&lt;25,"18-24",
IF(Table1[[#This Row],[Age]]&lt;35,"25-34",
IF(Table1[[#This Row],[Age]]&lt;45,"35-44","45+")))</f>
        <v>45+</v>
      </c>
    </row>
    <row r="570" spans="1:15" x14ac:dyDescent="0.25">
      <c r="A570" t="s">
        <v>579</v>
      </c>
      <c r="B570" s="4">
        <v>44629</v>
      </c>
      <c r="C570" s="1">
        <v>44941</v>
      </c>
      <c r="D570">
        <v>54</v>
      </c>
      <c r="E570" t="s">
        <v>911</v>
      </c>
      <c r="F570" t="s">
        <v>916</v>
      </c>
      <c r="G570" t="s">
        <v>921</v>
      </c>
      <c r="H570">
        <v>8950.66</v>
      </c>
      <c r="I570">
        <v>5</v>
      </c>
      <c r="J570">
        <v>41</v>
      </c>
      <c r="K570" t="s">
        <v>925</v>
      </c>
      <c r="L570" t="str">
        <f>IF(ISBLANK(Table1[[#This Row],[CancelDate]]),"Active","Churned")</f>
        <v>Churned</v>
      </c>
      <c r="M570">
        <f ca="1">IF(ISBLANK(Table1[[#This Row],[CancelDate]]),DATEDIF(Table1[[#This Row],[JoinDate]],TODAY(),"M"),DATEDIF(Table1[[#This Row],[JoinDate]],Table1[[#This Row],[CancelDate]],"M"))</f>
        <v>10</v>
      </c>
      <c r="N570" t="str">
        <f>IF(Table1[[#This Row],[EngagementScore]]&lt;=40,"Low",IF(Table1[[#This Row],[EngagementScore]]&lt;=70,"Medium","High"))</f>
        <v>Medium</v>
      </c>
      <c r="O570" t="str">
        <f>IF(Table1[[#This Row],[Age]]&lt;25,"18-24",
IF(Table1[[#This Row],[Age]]&lt;35,"25-34",
IF(Table1[[#This Row],[Age]]&lt;45,"35-44","45+")))</f>
        <v>45+</v>
      </c>
    </row>
    <row r="571" spans="1:15" x14ac:dyDescent="0.25">
      <c r="A571" t="s">
        <v>580</v>
      </c>
      <c r="B571" s="4">
        <v>44802</v>
      </c>
      <c r="D571">
        <v>39</v>
      </c>
      <c r="E571" t="s">
        <v>912</v>
      </c>
      <c r="F571" t="s">
        <v>917</v>
      </c>
      <c r="G571" t="s">
        <v>921</v>
      </c>
      <c r="H571">
        <v>5513.96</v>
      </c>
      <c r="I571">
        <v>2</v>
      </c>
      <c r="J571">
        <v>15</v>
      </c>
      <c r="K571" t="s">
        <v>925</v>
      </c>
      <c r="L571" t="str">
        <f>IF(ISBLANK(Table1[[#This Row],[CancelDate]]),"Active","Churned")</f>
        <v>Active</v>
      </c>
      <c r="M571">
        <f ca="1">IF(ISBLANK(Table1[[#This Row],[CancelDate]]),DATEDIF(Table1[[#This Row],[JoinDate]],TODAY(),"M"),DATEDIF(Table1[[#This Row],[JoinDate]],Table1[[#This Row],[CancelDate]],"M"))</f>
        <v>43</v>
      </c>
      <c r="N571" t="str">
        <f>IF(Table1[[#This Row],[EngagementScore]]&lt;=40,"Low",IF(Table1[[#This Row],[EngagementScore]]&lt;=70,"Medium","High"))</f>
        <v>Low</v>
      </c>
      <c r="O571" t="str">
        <f>IF(Table1[[#This Row],[Age]]&lt;25,"18-24",
IF(Table1[[#This Row],[Age]]&lt;35,"25-34",
IF(Table1[[#This Row],[Age]]&lt;45,"35-44","45+")))</f>
        <v>35-44</v>
      </c>
    </row>
    <row r="572" spans="1:15" x14ac:dyDescent="0.25">
      <c r="A572" t="s">
        <v>581</v>
      </c>
      <c r="B572" s="4">
        <v>45289</v>
      </c>
      <c r="D572">
        <v>51</v>
      </c>
      <c r="E572" t="s">
        <v>911</v>
      </c>
      <c r="F572" t="s">
        <v>917</v>
      </c>
      <c r="G572" t="s">
        <v>920</v>
      </c>
      <c r="H572">
        <v>5733</v>
      </c>
      <c r="I572">
        <v>8</v>
      </c>
      <c r="J572">
        <v>54</v>
      </c>
      <c r="K572" t="s">
        <v>923</v>
      </c>
      <c r="L572" t="str">
        <f>IF(ISBLANK(Table1[[#This Row],[CancelDate]]),"Active","Churned")</f>
        <v>Active</v>
      </c>
      <c r="M572">
        <f ca="1">IF(ISBLANK(Table1[[#This Row],[CancelDate]]),DATEDIF(Table1[[#This Row],[JoinDate]],TODAY(),"M"),DATEDIF(Table1[[#This Row],[JoinDate]],Table1[[#This Row],[CancelDate]],"M"))</f>
        <v>27</v>
      </c>
      <c r="N572" t="str">
        <f>IF(Table1[[#This Row],[EngagementScore]]&lt;=40,"Low",IF(Table1[[#This Row],[EngagementScore]]&lt;=70,"Medium","High"))</f>
        <v>Medium</v>
      </c>
      <c r="O572" t="str">
        <f>IF(Table1[[#This Row],[Age]]&lt;25,"18-24",
IF(Table1[[#This Row],[Age]]&lt;35,"25-34",
IF(Table1[[#This Row],[Age]]&lt;45,"35-44","45+")))</f>
        <v>45+</v>
      </c>
    </row>
    <row r="573" spans="1:15" x14ac:dyDescent="0.25">
      <c r="A573" t="s">
        <v>582</v>
      </c>
      <c r="B573" s="4">
        <v>45358</v>
      </c>
      <c r="D573">
        <v>41</v>
      </c>
      <c r="E573" t="s">
        <v>912</v>
      </c>
      <c r="F573" t="s">
        <v>919</v>
      </c>
      <c r="G573" t="s">
        <v>922</v>
      </c>
      <c r="H573">
        <v>2431.6</v>
      </c>
      <c r="I573">
        <v>3</v>
      </c>
      <c r="J573">
        <v>31</v>
      </c>
      <c r="K573" t="s">
        <v>923</v>
      </c>
      <c r="L573" t="str">
        <f>IF(ISBLANK(Table1[[#This Row],[CancelDate]]),"Active","Churned")</f>
        <v>Active</v>
      </c>
      <c r="M573">
        <f ca="1">IF(ISBLANK(Table1[[#This Row],[CancelDate]]),DATEDIF(Table1[[#This Row],[JoinDate]],TODAY(),"M"),DATEDIF(Table1[[#This Row],[JoinDate]],Table1[[#This Row],[CancelDate]],"M"))</f>
        <v>24</v>
      </c>
      <c r="N573" t="str">
        <f>IF(Table1[[#This Row],[EngagementScore]]&lt;=40,"Low",IF(Table1[[#This Row],[EngagementScore]]&lt;=70,"Medium","High"))</f>
        <v>Low</v>
      </c>
      <c r="O573" t="str">
        <f>IF(Table1[[#This Row],[Age]]&lt;25,"18-24",
IF(Table1[[#This Row],[Age]]&lt;35,"25-34",
IF(Table1[[#This Row],[Age]]&lt;45,"35-44","45+")))</f>
        <v>35-44</v>
      </c>
    </row>
    <row r="574" spans="1:15" x14ac:dyDescent="0.25">
      <c r="A574" t="s">
        <v>583</v>
      </c>
      <c r="B574" s="4">
        <v>45246</v>
      </c>
      <c r="D574">
        <v>23</v>
      </c>
      <c r="E574" t="s">
        <v>911</v>
      </c>
      <c r="F574" t="s">
        <v>916</v>
      </c>
      <c r="G574" t="s">
        <v>922</v>
      </c>
      <c r="H574">
        <v>13242.54</v>
      </c>
      <c r="I574">
        <v>12</v>
      </c>
      <c r="J574">
        <v>67</v>
      </c>
      <c r="K574" t="s">
        <v>923</v>
      </c>
      <c r="L574" t="str">
        <f>IF(ISBLANK(Table1[[#This Row],[CancelDate]]),"Active","Churned")</f>
        <v>Active</v>
      </c>
      <c r="M574">
        <f ca="1">IF(ISBLANK(Table1[[#This Row],[CancelDate]]),DATEDIF(Table1[[#This Row],[JoinDate]],TODAY(),"M"),DATEDIF(Table1[[#This Row],[JoinDate]],Table1[[#This Row],[CancelDate]],"M"))</f>
        <v>28</v>
      </c>
      <c r="N574" t="str">
        <f>IF(Table1[[#This Row],[EngagementScore]]&lt;=40,"Low",IF(Table1[[#This Row],[EngagementScore]]&lt;=70,"Medium","High"))</f>
        <v>Medium</v>
      </c>
      <c r="O574" t="str">
        <f>IF(Table1[[#This Row],[Age]]&lt;25,"18-24",
IF(Table1[[#This Row],[Age]]&lt;35,"25-34",
IF(Table1[[#This Row],[Age]]&lt;45,"35-44","45+")))</f>
        <v>18-24</v>
      </c>
    </row>
    <row r="575" spans="1:15" x14ac:dyDescent="0.25">
      <c r="A575" t="s">
        <v>584</v>
      </c>
      <c r="B575" s="4">
        <v>44854</v>
      </c>
      <c r="D575">
        <v>37</v>
      </c>
      <c r="E575" t="s">
        <v>912</v>
      </c>
      <c r="F575" t="s">
        <v>919</v>
      </c>
      <c r="G575" t="s">
        <v>921</v>
      </c>
      <c r="H575">
        <v>22091.82</v>
      </c>
      <c r="I575">
        <v>26</v>
      </c>
      <c r="J575">
        <v>94</v>
      </c>
      <c r="K575" t="s">
        <v>923</v>
      </c>
      <c r="L575" t="str">
        <f>IF(ISBLANK(Table1[[#This Row],[CancelDate]]),"Active","Churned")</f>
        <v>Active</v>
      </c>
      <c r="M575">
        <f ca="1">IF(ISBLANK(Table1[[#This Row],[CancelDate]]),DATEDIF(Table1[[#This Row],[JoinDate]],TODAY(),"M"),DATEDIF(Table1[[#This Row],[JoinDate]],Table1[[#This Row],[CancelDate]],"M"))</f>
        <v>41</v>
      </c>
      <c r="N575" t="str">
        <f>IF(Table1[[#This Row],[EngagementScore]]&lt;=40,"Low",IF(Table1[[#This Row],[EngagementScore]]&lt;=70,"Medium","High"))</f>
        <v>High</v>
      </c>
      <c r="O575" t="str">
        <f>IF(Table1[[#This Row],[Age]]&lt;25,"18-24",
IF(Table1[[#This Row],[Age]]&lt;35,"25-34",
IF(Table1[[#This Row],[Age]]&lt;45,"35-44","45+")))</f>
        <v>35-44</v>
      </c>
    </row>
    <row r="576" spans="1:15" x14ac:dyDescent="0.25">
      <c r="A576" t="s">
        <v>585</v>
      </c>
      <c r="B576" s="4">
        <v>44593</v>
      </c>
      <c r="D576">
        <v>58</v>
      </c>
      <c r="E576" t="s">
        <v>911</v>
      </c>
      <c r="F576" t="s">
        <v>919</v>
      </c>
      <c r="G576" t="s">
        <v>921</v>
      </c>
      <c r="H576">
        <v>4969.45</v>
      </c>
      <c r="I576">
        <v>1</v>
      </c>
      <c r="J576">
        <v>16</v>
      </c>
      <c r="K576" t="s">
        <v>923</v>
      </c>
      <c r="L576" t="str">
        <f>IF(ISBLANK(Table1[[#This Row],[CancelDate]]),"Active","Churned")</f>
        <v>Active</v>
      </c>
      <c r="M576">
        <f ca="1">IF(ISBLANK(Table1[[#This Row],[CancelDate]]),DATEDIF(Table1[[#This Row],[JoinDate]],TODAY(),"M"),DATEDIF(Table1[[#This Row],[JoinDate]],Table1[[#This Row],[CancelDate]],"M"))</f>
        <v>50</v>
      </c>
      <c r="N576" t="str">
        <f>IF(Table1[[#This Row],[EngagementScore]]&lt;=40,"Low",IF(Table1[[#This Row],[EngagementScore]]&lt;=70,"Medium","High"))</f>
        <v>Low</v>
      </c>
      <c r="O576" t="str">
        <f>IF(Table1[[#This Row],[Age]]&lt;25,"18-24",
IF(Table1[[#This Row],[Age]]&lt;35,"25-34",
IF(Table1[[#This Row],[Age]]&lt;45,"35-44","45+")))</f>
        <v>45+</v>
      </c>
    </row>
    <row r="577" spans="1:15" x14ac:dyDescent="0.25">
      <c r="A577" t="s">
        <v>586</v>
      </c>
      <c r="B577" s="4">
        <v>44866</v>
      </c>
      <c r="D577">
        <v>20</v>
      </c>
      <c r="E577" t="s">
        <v>912</v>
      </c>
      <c r="F577" t="s">
        <v>917</v>
      </c>
      <c r="G577" t="s">
        <v>921</v>
      </c>
      <c r="H577">
        <v>12859.03</v>
      </c>
      <c r="I577">
        <v>6</v>
      </c>
      <c r="J577">
        <v>44</v>
      </c>
      <c r="K577" t="s">
        <v>923</v>
      </c>
      <c r="L577" t="str">
        <f>IF(ISBLANK(Table1[[#This Row],[CancelDate]]),"Active","Churned")</f>
        <v>Active</v>
      </c>
      <c r="M577">
        <f ca="1">IF(ISBLANK(Table1[[#This Row],[CancelDate]]),DATEDIF(Table1[[#This Row],[JoinDate]],TODAY(),"M"),DATEDIF(Table1[[#This Row],[JoinDate]],Table1[[#This Row],[CancelDate]],"M"))</f>
        <v>41</v>
      </c>
      <c r="N577" t="str">
        <f>IF(Table1[[#This Row],[EngagementScore]]&lt;=40,"Low",IF(Table1[[#This Row],[EngagementScore]]&lt;=70,"Medium","High"))</f>
        <v>Medium</v>
      </c>
      <c r="O577" t="str">
        <f>IF(Table1[[#This Row],[Age]]&lt;25,"18-24",
IF(Table1[[#This Row],[Age]]&lt;35,"25-34",
IF(Table1[[#This Row],[Age]]&lt;45,"35-44","45+")))</f>
        <v>18-24</v>
      </c>
    </row>
    <row r="578" spans="1:15" x14ac:dyDescent="0.25">
      <c r="A578" t="s">
        <v>587</v>
      </c>
      <c r="B578" s="4">
        <v>45114</v>
      </c>
      <c r="D578">
        <v>44</v>
      </c>
      <c r="E578" t="s">
        <v>911</v>
      </c>
      <c r="F578" t="s">
        <v>915</v>
      </c>
      <c r="G578" t="s">
        <v>922</v>
      </c>
      <c r="H578">
        <v>5039.18</v>
      </c>
      <c r="I578">
        <v>3</v>
      </c>
      <c r="J578">
        <v>24</v>
      </c>
      <c r="K578" t="s">
        <v>925</v>
      </c>
      <c r="L578" t="str">
        <f>IF(ISBLANK(Table1[[#This Row],[CancelDate]]),"Active","Churned")</f>
        <v>Active</v>
      </c>
      <c r="M578">
        <f ca="1">IF(ISBLANK(Table1[[#This Row],[CancelDate]]),DATEDIF(Table1[[#This Row],[JoinDate]],TODAY(),"M"),DATEDIF(Table1[[#This Row],[JoinDate]],Table1[[#This Row],[CancelDate]],"M"))</f>
        <v>32</v>
      </c>
      <c r="N578" t="str">
        <f>IF(Table1[[#This Row],[EngagementScore]]&lt;=40,"Low",IF(Table1[[#This Row],[EngagementScore]]&lt;=70,"Medium","High"))</f>
        <v>Low</v>
      </c>
      <c r="O578" t="str">
        <f>IF(Table1[[#This Row],[Age]]&lt;25,"18-24",
IF(Table1[[#This Row],[Age]]&lt;35,"25-34",
IF(Table1[[#This Row],[Age]]&lt;45,"35-44","45+")))</f>
        <v>35-44</v>
      </c>
    </row>
    <row r="579" spans="1:15" x14ac:dyDescent="0.25">
      <c r="A579" t="s">
        <v>588</v>
      </c>
      <c r="B579" s="4">
        <v>45196</v>
      </c>
      <c r="D579">
        <v>23</v>
      </c>
      <c r="E579" t="s">
        <v>912</v>
      </c>
      <c r="F579" t="s">
        <v>916</v>
      </c>
      <c r="G579" t="s">
        <v>922</v>
      </c>
      <c r="H579">
        <v>19062.87</v>
      </c>
      <c r="I579">
        <v>26</v>
      </c>
      <c r="J579">
        <v>79</v>
      </c>
      <c r="K579" t="s">
        <v>923</v>
      </c>
      <c r="L579" t="str">
        <f>IF(ISBLANK(Table1[[#This Row],[CancelDate]]),"Active","Churned")</f>
        <v>Active</v>
      </c>
      <c r="M579">
        <f ca="1">IF(ISBLANK(Table1[[#This Row],[CancelDate]]),DATEDIF(Table1[[#This Row],[JoinDate]],TODAY(),"M"),DATEDIF(Table1[[#This Row],[JoinDate]],Table1[[#This Row],[CancelDate]],"M"))</f>
        <v>30</v>
      </c>
      <c r="N579" t="str">
        <f>IF(Table1[[#This Row],[EngagementScore]]&lt;=40,"Low",IF(Table1[[#This Row],[EngagementScore]]&lt;=70,"Medium","High"))</f>
        <v>High</v>
      </c>
      <c r="O579" t="str">
        <f>IF(Table1[[#This Row],[Age]]&lt;25,"18-24",
IF(Table1[[#This Row],[Age]]&lt;35,"25-34",
IF(Table1[[#This Row],[Age]]&lt;45,"35-44","45+")))</f>
        <v>18-24</v>
      </c>
    </row>
    <row r="580" spans="1:15" x14ac:dyDescent="0.25">
      <c r="A580" t="s">
        <v>589</v>
      </c>
      <c r="B580" s="4">
        <v>44749</v>
      </c>
      <c r="D580">
        <v>29</v>
      </c>
      <c r="E580" t="s">
        <v>912</v>
      </c>
      <c r="F580" t="s">
        <v>915</v>
      </c>
      <c r="G580" t="s">
        <v>920</v>
      </c>
      <c r="H580">
        <v>7445.68</v>
      </c>
      <c r="I580">
        <v>4</v>
      </c>
      <c r="J580">
        <v>27</v>
      </c>
      <c r="K580" t="s">
        <v>923</v>
      </c>
      <c r="L580" t="str">
        <f>IF(ISBLANK(Table1[[#This Row],[CancelDate]]),"Active","Churned")</f>
        <v>Active</v>
      </c>
      <c r="M580">
        <f ca="1">IF(ISBLANK(Table1[[#This Row],[CancelDate]]),DATEDIF(Table1[[#This Row],[JoinDate]],TODAY(),"M"),DATEDIF(Table1[[#This Row],[JoinDate]],Table1[[#This Row],[CancelDate]],"M"))</f>
        <v>44</v>
      </c>
      <c r="N580" t="str">
        <f>IF(Table1[[#This Row],[EngagementScore]]&lt;=40,"Low",IF(Table1[[#This Row],[EngagementScore]]&lt;=70,"Medium","High"))</f>
        <v>Low</v>
      </c>
      <c r="O580" t="str">
        <f>IF(Table1[[#This Row],[Age]]&lt;25,"18-24",
IF(Table1[[#This Row],[Age]]&lt;35,"25-34",
IF(Table1[[#This Row],[Age]]&lt;45,"35-44","45+")))</f>
        <v>25-34</v>
      </c>
    </row>
    <row r="581" spans="1:15" x14ac:dyDescent="0.25">
      <c r="A581" t="s">
        <v>590</v>
      </c>
      <c r="B581" s="4">
        <v>44817</v>
      </c>
      <c r="D581">
        <v>56</v>
      </c>
      <c r="E581" t="s">
        <v>911</v>
      </c>
      <c r="F581" t="s">
        <v>918</v>
      </c>
      <c r="G581" t="s">
        <v>921</v>
      </c>
      <c r="H581">
        <v>29965.01</v>
      </c>
      <c r="I581">
        <v>18</v>
      </c>
      <c r="J581">
        <v>90</v>
      </c>
      <c r="K581" t="s">
        <v>925</v>
      </c>
      <c r="L581" t="str">
        <f>IF(ISBLANK(Table1[[#This Row],[CancelDate]]),"Active","Churned")</f>
        <v>Active</v>
      </c>
      <c r="M581">
        <f ca="1">IF(ISBLANK(Table1[[#This Row],[CancelDate]]),DATEDIF(Table1[[#This Row],[JoinDate]],TODAY(),"M"),DATEDIF(Table1[[#This Row],[JoinDate]],Table1[[#This Row],[CancelDate]],"M"))</f>
        <v>42</v>
      </c>
      <c r="N581" t="str">
        <f>IF(Table1[[#This Row],[EngagementScore]]&lt;=40,"Low",IF(Table1[[#This Row],[EngagementScore]]&lt;=70,"Medium","High"))</f>
        <v>High</v>
      </c>
      <c r="O581" t="str">
        <f>IF(Table1[[#This Row],[Age]]&lt;25,"18-24",
IF(Table1[[#This Row],[Age]]&lt;35,"25-34",
IF(Table1[[#This Row],[Age]]&lt;45,"35-44","45+")))</f>
        <v>45+</v>
      </c>
    </row>
    <row r="582" spans="1:15" x14ac:dyDescent="0.25">
      <c r="A582" t="s">
        <v>591</v>
      </c>
      <c r="B582" s="4">
        <v>44882</v>
      </c>
      <c r="D582">
        <v>51</v>
      </c>
      <c r="E582" t="s">
        <v>911</v>
      </c>
      <c r="F582" t="s">
        <v>914</v>
      </c>
      <c r="G582" t="s">
        <v>922</v>
      </c>
      <c r="H582">
        <v>5085.58</v>
      </c>
      <c r="I582">
        <v>3</v>
      </c>
      <c r="J582">
        <v>11</v>
      </c>
      <c r="K582" t="s">
        <v>924</v>
      </c>
      <c r="L582" t="str">
        <f>IF(ISBLANK(Table1[[#This Row],[CancelDate]]),"Active","Churned")</f>
        <v>Active</v>
      </c>
      <c r="M582">
        <f ca="1">IF(ISBLANK(Table1[[#This Row],[CancelDate]]),DATEDIF(Table1[[#This Row],[JoinDate]],TODAY(),"M"),DATEDIF(Table1[[#This Row],[JoinDate]],Table1[[#This Row],[CancelDate]],"M"))</f>
        <v>40</v>
      </c>
      <c r="N582" t="str">
        <f>IF(Table1[[#This Row],[EngagementScore]]&lt;=40,"Low",IF(Table1[[#This Row],[EngagementScore]]&lt;=70,"Medium","High"))</f>
        <v>Low</v>
      </c>
      <c r="O582" t="str">
        <f>IF(Table1[[#This Row],[Age]]&lt;25,"18-24",
IF(Table1[[#This Row],[Age]]&lt;35,"25-34",
IF(Table1[[#This Row],[Age]]&lt;45,"35-44","45+")))</f>
        <v>45+</v>
      </c>
    </row>
    <row r="583" spans="1:15" x14ac:dyDescent="0.25">
      <c r="A583" t="s">
        <v>592</v>
      </c>
      <c r="B583" s="4">
        <v>44590</v>
      </c>
      <c r="C583" s="1">
        <v>44786</v>
      </c>
      <c r="D583">
        <v>38</v>
      </c>
      <c r="E583" t="s">
        <v>912</v>
      </c>
      <c r="F583" t="s">
        <v>919</v>
      </c>
      <c r="G583" t="s">
        <v>922</v>
      </c>
      <c r="H583">
        <v>7797.59</v>
      </c>
      <c r="I583">
        <v>6</v>
      </c>
      <c r="J583">
        <v>14</v>
      </c>
      <c r="K583" t="s">
        <v>925</v>
      </c>
      <c r="L583" t="str">
        <f>IF(ISBLANK(Table1[[#This Row],[CancelDate]]),"Active","Churned")</f>
        <v>Churned</v>
      </c>
      <c r="M583">
        <f ca="1">IF(ISBLANK(Table1[[#This Row],[CancelDate]]),DATEDIF(Table1[[#This Row],[JoinDate]],TODAY(),"M"),DATEDIF(Table1[[#This Row],[JoinDate]],Table1[[#This Row],[CancelDate]],"M"))</f>
        <v>6</v>
      </c>
      <c r="N583" t="str">
        <f>IF(Table1[[#This Row],[EngagementScore]]&lt;=40,"Low",IF(Table1[[#This Row],[EngagementScore]]&lt;=70,"Medium","High"))</f>
        <v>Low</v>
      </c>
      <c r="O583" t="str">
        <f>IF(Table1[[#This Row],[Age]]&lt;25,"18-24",
IF(Table1[[#This Row],[Age]]&lt;35,"25-34",
IF(Table1[[#This Row],[Age]]&lt;45,"35-44","45+")))</f>
        <v>35-44</v>
      </c>
    </row>
    <row r="584" spans="1:15" x14ac:dyDescent="0.25">
      <c r="A584" t="s">
        <v>593</v>
      </c>
      <c r="B584" s="4">
        <v>44569</v>
      </c>
      <c r="D584">
        <v>21</v>
      </c>
      <c r="E584" t="s">
        <v>911</v>
      </c>
      <c r="F584" t="s">
        <v>917</v>
      </c>
      <c r="G584" t="s">
        <v>922</v>
      </c>
      <c r="H584">
        <v>25122.82</v>
      </c>
      <c r="I584">
        <v>18</v>
      </c>
      <c r="J584">
        <v>98</v>
      </c>
      <c r="K584" t="s">
        <v>923</v>
      </c>
      <c r="L584" t="str">
        <f>IF(ISBLANK(Table1[[#This Row],[CancelDate]]),"Active","Churned")</f>
        <v>Active</v>
      </c>
      <c r="M584">
        <f ca="1">IF(ISBLANK(Table1[[#This Row],[CancelDate]]),DATEDIF(Table1[[#This Row],[JoinDate]],TODAY(),"M"),DATEDIF(Table1[[#This Row],[JoinDate]],Table1[[#This Row],[CancelDate]],"M"))</f>
        <v>50</v>
      </c>
      <c r="N584" t="str">
        <f>IF(Table1[[#This Row],[EngagementScore]]&lt;=40,"Low",IF(Table1[[#This Row],[EngagementScore]]&lt;=70,"Medium","High"))</f>
        <v>High</v>
      </c>
      <c r="O584" t="str">
        <f>IF(Table1[[#This Row],[Age]]&lt;25,"18-24",
IF(Table1[[#This Row],[Age]]&lt;35,"25-34",
IF(Table1[[#This Row],[Age]]&lt;45,"35-44","45+")))</f>
        <v>18-24</v>
      </c>
    </row>
    <row r="585" spans="1:15" x14ac:dyDescent="0.25">
      <c r="A585" t="s">
        <v>594</v>
      </c>
      <c r="B585" s="4">
        <v>45117</v>
      </c>
      <c r="C585" s="1">
        <v>45400</v>
      </c>
      <c r="D585">
        <v>22</v>
      </c>
      <c r="E585" t="s">
        <v>912</v>
      </c>
      <c r="F585" t="s">
        <v>918</v>
      </c>
      <c r="G585" t="s">
        <v>921</v>
      </c>
      <c r="H585">
        <v>3973.18</v>
      </c>
      <c r="I585">
        <v>7</v>
      </c>
      <c r="J585">
        <v>29</v>
      </c>
      <c r="K585" t="s">
        <v>923</v>
      </c>
      <c r="L585" t="str">
        <f>IF(ISBLANK(Table1[[#This Row],[CancelDate]]),"Active","Churned")</f>
        <v>Churned</v>
      </c>
      <c r="M585">
        <f ca="1">IF(ISBLANK(Table1[[#This Row],[CancelDate]]),DATEDIF(Table1[[#This Row],[JoinDate]],TODAY(),"M"),DATEDIF(Table1[[#This Row],[JoinDate]],Table1[[#This Row],[CancelDate]],"M"))</f>
        <v>9</v>
      </c>
      <c r="N585" t="str">
        <f>IF(Table1[[#This Row],[EngagementScore]]&lt;=40,"Low",IF(Table1[[#This Row],[EngagementScore]]&lt;=70,"Medium","High"))</f>
        <v>Low</v>
      </c>
      <c r="O585" t="str">
        <f>IF(Table1[[#This Row],[Age]]&lt;25,"18-24",
IF(Table1[[#This Row],[Age]]&lt;35,"25-34",
IF(Table1[[#This Row],[Age]]&lt;45,"35-44","45+")))</f>
        <v>18-24</v>
      </c>
    </row>
    <row r="586" spans="1:15" x14ac:dyDescent="0.25">
      <c r="A586" t="s">
        <v>595</v>
      </c>
      <c r="B586" s="4">
        <v>44908</v>
      </c>
      <c r="D586">
        <v>24</v>
      </c>
      <c r="E586" t="s">
        <v>911</v>
      </c>
      <c r="F586" t="s">
        <v>914</v>
      </c>
      <c r="G586" t="s">
        <v>920</v>
      </c>
      <c r="H586">
        <v>23387.78</v>
      </c>
      <c r="I586">
        <v>12</v>
      </c>
      <c r="J586">
        <v>78</v>
      </c>
      <c r="K586" t="s">
        <v>923</v>
      </c>
      <c r="L586" t="str">
        <f>IF(ISBLANK(Table1[[#This Row],[CancelDate]]),"Active","Churned")</f>
        <v>Active</v>
      </c>
      <c r="M586">
        <f ca="1">IF(ISBLANK(Table1[[#This Row],[CancelDate]]),DATEDIF(Table1[[#This Row],[JoinDate]],TODAY(),"M"),DATEDIF(Table1[[#This Row],[JoinDate]],Table1[[#This Row],[CancelDate]],"M"))</f>
        <v>39</v>
      </c>
      <c r="N586" t="str">
        <f>IF(Table1[[#This Row],[EngagementScore]]&lt;=40,"Low",IF(Table1[[#This Row],[EngagementScore]]&lt;=70,"Medium","High"))</f>
        <v>High</v>
      </c>
      <c r="O586" t="str">
        <f>IF(Table1[[#This Row],[Age]]&lt;25,"18-24",
IF(Table1[[#This Row],[Age]]&lt;35,"25-34",
IF(Table1[[#This Row],[Age]]&lt;45,"35-44","45+")))</f>
        <v>18-24</v>
      </c>
    </row>
    <row r="587" spans="1:15" x14ac:dyDescent="0.25">
      <c r="A587" t="s">
        <v>596</v>
      </c>
      <c r="B587" s="4">
        <v>44695</v>
      </c>
      <c r="C587" s="1">
        <v>45057</v>
      </c>
      <c r="D587">
        <v>41</v>
      </c>
      <c r="E587" t="s">
        <v>912</v>
      </c>
      <c r="F587" t="s">
        <v>915</v>
      </c>
      <c r="G587" t="s">
        <v>922</v>
      </c>
      <c r="H587">
        <v>14088.1</v>
      </c>
      <c r="I587">
        <v>12</v>
      </c>
      <c r="J587">
        <v>42</v>
      </c>
      <c r="K587" t="s">
        <v>923</v>
      </c>
      <c r="L587" t="str">
        <f>IF(ISBLANK(Table1[[#This Row],[CancelDate]]),"Active","Churned")</f>
        <v>Churned</v>
      </c>
      <c r="M587">
        <f ca="1">IF(ISBLANK(Table1[[#This Row],[CancelDate]]),DATEDIF(Table1[[#This Row],[JoinDate]],TODAY(),"M"),DATEDIF(Table1[[#This Row],[JoinDate]],Table1[[#This Row],[CancelDate]],"M"))</f>
        <v>11</v>
      </c>
      <c r="N587" t="str">
        <f>IF(Table1[[#This Row],[EngagementScore]]&lt;=40,"Low",IF(Table1[[#This Row],[EngagementScore]]&lt;=70,"Medium","High"))</f>
        <v>Medium</v>
      </c>
      <c r="O587" t="str">
        <f>IF(Table1[[#This Row],[Age]]&lt;25,"18-24",
IF(Table1[[#This Row],[Age]]&lt;35,"25-34",
IF(Table1[[#This Row],[Age]]&lt;45,"35-44","45+")))</f>
        <v>35-44</v>
      </c>
    </row>
    <row r="588" spans="1:15" x14ac:dyDescent="0.25">
      <c r="A588" t="s">
        <v>597</v>
      </c>
      <c r="B588" s="4">
        <v>44894</v>
      </c>
      <c r="D588">
        <v>33</v>
      </c>
      <c r="E588" t="s">
        <v>912</v>
      </c>
      <c r="F588" t="s">
        <v>919</v>
      </c>
      <c r="G588" t="s">
        <v>922</v>
      </c>
      <c r="H588">
        <v>8850.02</v>
      </c>
      <c r="I588">
        <v>11</v>
      </c>
      <c r="J588">
        <v>57</v>
      </c>
      <c r="K588" t="s">
        <v>913</v>
      </c>
      <c r="L588" t="str">
        <f>IF(ISBLANK(Table1[[#This Row],[CancelDate]]),"Active","Churned")</f>
        <v>Active</v>
      </c>
      <c r="M588">
        <f ca="1">IF(ISBLANK(Table1[[#This Row],[CancelDate]]),DATEDIF(Table1[[#This Row],[JoinDate]],TODAY(),"M"),DATEDIF(Table1[[#This Row],[JoinDate]],Table1[[#This Row],[CancelDate]],"M"))</f>
        <v>40</v>
      </c>
      <c r="N588" t="str">
        <f>IF(Table1[[#This Row],[EngagementScore]]&lt;=40,"Low",IF(Table1[[#This Row],[EngagementScore]]&lt;=70,"Medium","High"))</f>
        <v>Medium</v>
      </c>
      <c r="O588" t="str">
        <f>IF(Table1[[#This Row],[Age]]&lt;25,"18-24",
IF(Table1[[#This Row],[Age]]&lt;35,"25-34",
IF(Table1[[#This Row],[Age]]&lt;45,"35-44","45+")))</f>
        <v>25-34</v>
      </c>
    </row>
    <row r="589" spans="1:15" x14ac:dyDescent="0.25">
      <c r="A589" t="s">
        <v>598</v>
      </c>
      <c r="B589" s="4">
        <v>45395</v>
      </c>
      <c r="D589">
        <v>47</v>
      </c>
      <c r="E589" t="s">
        <v>912</v>
      </c>
      <c r="F589" t="s">
        <v>917</v>
      </c>
      <c r="G589" t="s">
        <v>921</v>
      </c>
      <c r="H589">
        <v>6958.53</v>
      </c>
      <c r="I589">
        <v>10</v>
      </c>
      <c r="J589">
        <v>69</v>
      </c>
      <c r="K589" t="s">
        <v>925</v>
      </c>
      <c r="L589" t="str">
        <f>IF(ISBLANK(Table1[[#This Row],[CancelDate]]),"Active","Churned")</f>
        <v>Active</v>
      </c>
      <c r="M589">
        <f ca="1">IF(ISBLANK(Table1[[#This Row],[CancelDate]]),DATEDIF(Table1[[#This Row],[JoinDate]],TODAY(),"M"),DATEDIF(Table1[[#This Row],[JoinDate]],Table1[[#This Row],[CancelDate]],"M"))</f>
        <v>23</v>
      </c>
      <c r="N589" t="str">
        <f>IF(Table1[[#This Row],[EngagementScore]]&lt;=40,"Low",IF(Table1[[#This Row],[EngagementScore]]&lt;=70,"Medium","High"))</f>
        <v>Medium</v>
      </c>
      <c r="O589" t="str">
        <f>IF(Table1[[#This Row],[Age]]&lt;25,"18-24",
IF(Table1[[#This Row],[Age]]&lt;35,"25-34",
IF(Table1[[#This Row],[Age]]&lt;45,"35-44","45+")))</f>
        <v>45+</v>
      </c>
    </row>
    <row r="590" spans="1:15" x14ac:dyDescent="0.25">
      <c r="A590" t="s">
        <v>599</v>
      </c>
      <c r="B590" s="4">
        <v>44775</v>
      </c>
      <c r="D590">
        <v>54</v>
      </c>
      <c r="E590" t="s">
        <v>911</v>
      </c>
      <c r="F590" t="s">
        <v>915</v>
      </c>
      <c r="G590" t="s">
        <v>920</v>
      </c>
      <c r="H590">
        <v>7975.35</v>
      </c>
      <c r="I590">
        <v>7</v>
      </c>
      <c r="J590">
        <v>40</v>
      </c>
      <c r="K590" t="s">
        <v>923</v>
      </c>
      <c r="L590" t="str">
        <f>IF(ISBLANK(Table1[[#This Row],[CancelDate]]),"Active","Churned")</f>
        <v>Active</v>
      </c>
      <c r="M590">
        <f ca="1">IF(ISBLANK(Table1[[#This Row],[CancelDate]]),DATEDIF(Table1[[#This Row],[JoinDate]],TODAY(),"M"),DATEDIF(Table1[[#This Row],[JoinDate]],Table1[[#This Row],[CancelDate]],"M"))</f>
        <v>44</v>
      </c>
      <c r="N590" t="str">
        <f>IF(Table1[[#This Row],[EngagementScore]]&lt;=40,"Low",IF(Table1[[#This Row],[EngagementScore]]&lt;=70,"Medium","High"))</f>
        <v>Low</v>
      </c>
      <c r="O590" t="str">
        <f>IF(Table1[[#This Row],[Age]]&lt;25,"18-24",
IF(Table1[[#This Row],[Age]]&lt;35,"25-34",
IF(Table1[[#This Row],[Age]]&lt;45,"35-44","45+")))</f>
        <v>45+</v>
      </c>
    </row>
    <row r="591" spans="1:15" x14ac:dyDescent="0.25">
      <c r="A591" t="s">
        <v>600</v>
      </c>
      <c r="B591" s="4">
        <v>45163</v>
      </c>
      <c r="D591">
        <v>25</v>
      </c>
      <c r="E591" t="s">
        <v>912</v>
      </c>
      <c r="F591" t="s">
        <v>918</v>
      </c>
      <c r="G591" t="s">
        <v>922</v>
      </c>
      <c r="H591">
        <v>14334.73</v>
      </c>
      <c r="I591">
        <v>29</v>
      </c>
      <c r="J591">
        <v>77</v>
      </c>
      <c r="K591" t="s">
        <v>923</v>
      </c>
      <c r="L591" t="str">
        <f>IF(ISBLANK(Table1[[#This Row],[CancelDate]]),"Active","Churned")</f>
        <v>Active</v>
      </c>
      <c r="M591">
        <f ca="1">IF(ISBLANK(Table1[[#This Row],[CancelDate]]),DATEDIF(Table1[[#This Row],[JoinDate]],TODAY(),"M"),DATEDIF(Table1[[#This Row],[JoinDate]],Table1[[#This Row],[CancelDate]],"M"))</f>
        <v>31</v>
      </c>
      <c r="N591" t="str">
        <f>IF(Table1[[#This Row],[EngagementScore]]&lt;=40,"Low",IF(Table1[[#This Row],[EngagementScore]]&lt;=70,"Medium","High"))</f>
        <v>High</v>
      </c>
      <c r="O591" t="str">
        <f>IF(Table1[[#This Row],[Age]]&lt;25,"18-24",
IF(Table1[[#This Row],[Age]]&lt;35,"25-34",
IF(Table1[[#This Row],[Age]]&lt;45,"35-44","45+")))</f>
        <v>25-34</v>
      </c>
    </row>
    <row r="592" spans="1:15" x14ac:dyDescent="0.25">
      <c r="A592" t="s">
        <v>601</v>
      </c>
      <c r="B592" s="4">
        <v>45254</v>
      </c>
      <c r="D592">
        <v>56</v>
      </c>
      <c r="E592" t="s">
        <v>912</v>
      </c>
      <c r="F592" t="s">
        <v>915</v>
      </c>
      <c r="G592" t="s">
        <v>921</v>
      </c>
      <c r="H592">
        <v>8726.32</v>
      </c>
      <c r="I592">
        <v>14</v>
      </c>
      <c r="J592">
        <v>55</v>
      </c>
      <c r="K592" t="s">
        <v>913</v>
      </c>
      <c r="L592" t="str">
        <f>IF(ISBLANK(Table1[[#This Row],[CancelDate]]),"Active","Churned")</f>
        <v>Active</v>
      </c>
      <c r="M592">
        <f ca="1">IF(ISBLANK(Table1[[#This Row],[CancelDate]]),DATEDIF(Table1[[#This Row],[JoinDate]],TODAY(),"M"),DATEDIF(Table1[[#This Row],[JoinDate]],Table1[[#This Row],[CancelDate]],"M"))</f>
        <v>28</v>
      </c>
      <c r="N592" t="str">
        <f>IF(Table1[[#This Row],[EngagementScore]]&lt;=40,"Low",IF(Table1[[#This Row],[EngagementScore]]&lt;=70,"Medium","High"))</f>
        <v>Medium</v>
      </c>
      <c r="O592" t="str">
        <f>IF(Table1[[#This Row],[Age]]&lt;25,"18-24",
IF(Table1[[#This Row],[Age]]&lt;35,"25-34",
IF(Table1[[#This Row],[Age]]&lt;45,"35-44","45+")))</f>
        <v>45+</v>
      </c>
    </row>
    <row r="593" spans="1:15" x14ac:dyDescent="0.25">
      <c r="A593" t="s">
        <v>602</v>
      </c>
      <c r="B593" s="4">
        <v>44651</v>
      </c>
      <c r="C593" s="1">
        <v>44977</v>
      </c>
      <c r="D593">
        <v>24</v>
      </c>
      <c r="E593" t="s">
        <v>911</v>
      </c>
      <c r="F593" t="s">
        <v>917</v>
      </c>
      <c r="G593" t="s">
        <v>922</v>
      </c>
      <c r="H593">
        <v>5400.81</v>
      </c>
      <c r="I593">
        <v>3</v>
      </c>
      <c r="J593">
        <v>37</v>
      </c>
      <c r="K593" t="s">
        <v>925</v>
      </c>
      <c r="L593" t="str">
        <f>IF(ISBLANK(Table1[[#This Row],[CancelDate]]),"Active","Churned")</f>
        <v>Churned</v>
      </c>
      <c r="M593">
        <f ca="1">IF(ISBLANK(Table1[[#This Row],[CancelDate]]),DATEDIF(Table1[[#This Row],[JoinDate]],TODAY(),"M"),DATEDIF(Table1[[#This Row],[JoinDate]],Table1[[#This Row],[CancelDate]],"M"))</f>
        <v>10</v>
      </c>
      <c r="N593" t="str">
        <f>IF(Table1[[#This Row],[EngagementScore]]&lt;=40,"Low",IF(Table1[[#This Row],[EngagementScore]]&lt;=70,"Medium","High"))</f>
        <v>Low</v>
      </c>
      <c r="O593" t="str">
        <f>IF(Table1[[#This Row],[Age]]&lt;25,"18-24",
IF(Table1[[#This Row],[Age]]&lt;35,"25-34",
IF(Table1[[#This Row],[Age]]&lt;45,"35-44","45+")))</f>
        <v>18-24</v>
      </c>
    </row>
    <row r="594" spans="1:15" x14ac:dyDescent="0.25">
      <c r="A594" t="s">
        <v>603</v>
      </c>
      <c r="B594" s="4">
        <v>44940</v>
      </c>
      <c r="D594">
        <v>29</v>
      </c>
      <c r="E594" t="s">
        <v>912</v>
      </c>
      <c r="F594" t="s">
        <v>918</v>
      </c>
      <c r="G594" t="s">
        <v>921</v>
      </c>
      <c r="H594">
        <v>4641.76</v>
      </c>
      <c r="I594">
        <v>7</v>
      </c>
      <c r="J594">
        <v>21</v>
      </c>
      <c r="K594" t="s">
        <v>925</v>
      </c>
      <c r="L594" t="str">
        <f>IF(ISBLANK(Table1[[#This Row],[CancelDate]]),"Active","Churned")</f>
        <v>Active</v>
      </c>
      <c r="M594">
        <f ca="1">IF(ISBLANK(Table1[[#This Row],[CancelDate]]),DATEDIF(Table1[[#This Row],[JoinDate]],TODAY(),"M"),DATEDIF(Table1[[#This Row],[JoinDate]],Table1[[#This Row],[CancelDate]],"M"))</f>
        <v>38</v>
      </c>
      <c r="N594" t="str">
        <f>IF(Table1[[#This Row],[EngagementScore]]&lt;=40,"Low",IF(Table1[[#This Row],[EngagementScore]]&lt;=70,"Medium","High"))</f>
        <v>Low</v>
      </c>
      <c r="O594" t="str">
        <f>IF(Table1[[#This Row],[Age]]&lt;25,"18-24",
IF(Table1[[#This Row],[Age]]&lt;35,"25-34",
IF(Table1[[#This Row],[Age]]&lt;45,"35-44","45+")))</f>
        <v>25-34</v>
      </c>
    </row>
    <row r="595" spans="1:15" x14ac:dyDescent="0.25">
      <c r="A595" t="s">
        <v>604</v>
      </c>
      <c r="B595" s="4">
        <v>44583</v>
      </c>
      <c r="D595">
        <v>23</v>
      </c>
      <c r="E595" t="s">
        <v>912</v>
      </c>
      <c r="F595" t="s">
        <v>914</v>
      </c>
      <c r="G595" t="s">
        <v>921</v>
      </c>
      <c r="H595">
        <v>8693.7900000000009</v>
      </c>
      <c r="I595">
        <v>11</v>
      </c>
      <c r="J595">
        <v>67</v>
      </c>
      <c r="K595" t="s">
        <v>924</v>
      </c>
      <c r="L595" t="str">
        <f>IF(ISBLANK(Table1[[#This Row],[CancelDate]]),"Active","Churned")</f>
        <v>Active</v>
      </c>
      <c r="M595">
        <f ca="1">IF(ISBLANK(Table1[[#This Row],[CancelDate]]),DATEDIF(Table1[[#This Row],[JoinDate]],TODAY(),"M"),DATEDIF(Table1[[#This Row],[JoinDate]],Table1[[#This Row],[CancelDate]],"M"))</f>
        <v>50</v>
      </c>
      <c r="N595" t="str">
        <f>IF(Table1[[#This Row],[EngagementScore]]&lt;=40,"Low",IF(Table1[[#This Row],[EngagementScore]]&lt;=70,"Medium","High"))</f>
        <v>Medium</v>
      </c>
      <c r="O595" t="str">
        <f>IF(Table1[[#This Row],[Age]]&lt;25,"18-24",
IF(Table1[[#This Row],[Age]]&lt;35,"25-34",
IF(Table1[[#This Row],[Age]]&lt;45,"35-44","45+")))</f>
        <v>18-24</v>
      </c>
    </row>
    <row r="596" spans="1:15" x14ac:dyDescent="0.25">
      <c r="A596" t="s">
        <v>605</v>
      </c>
      <c r="B596" s="4">
        <v>45176</v>
      </c>
      <c r="D596">
        <v>42</v>
      </c>
      <c r="E596" t="s">
        <v>911</v>
      </c>
      <c r="F596" t="s">
        <v>915</v>
      </c>
      <c r="G596" t="s">
        <v>922</v>
      </c>
      <c r="H596">
        <v>14282.02</v>
      </c>
      <c r="I596">
        <v>16</v>
      </c>
      <c r="J596">
        <v>86</v>
      </c>
      <c r="K596" t="s">
        <v>923</v>
      </c>
      <c r="L596" t="str">
        <f>IF(ISBLANK(Table1[[#This Row],[CancelDate]]),"Active","Churned")</f>
        <v>Active</v>
      </c>
      <c r="M596">
        <f ca="1">IF(ISBLANK(Table1[[#This Row],[CancelDate]]),DATEDIF(Table1[[#This Row],[JoinDate]],TODAY(),"M"),DATEDIF(Table1[[#This Row],[JoinDate]],Table1[[#This Row],[CancelDate]],"M"))</f>
        <v>30</v>
      </c>
      <c r="N596" t="str">
        <f>IF(Table1[[#This Row],[EngagementScore]]&lt;=40,"Low",IF(Table1[[#This Row],[EngagementScore]]&lt;=70,"Medium","High"))</f>
        <v>High</v>
      </c>
      <c r="O596" t="str">
        <f>IF(Table1[[#This Row],[Age]]&lt;25,"18-24",
IF(Table1[[#This Row],[Age]]&lt;35,"25-34",
IF(Table1[[#This Row],[Age]]&lt;45,"35-44","45+")))</f>
        <v>35-44</v>
      </c>
    </row>
    <row r="597" spans="1:15" x14ac:dyDescent="0.25">
      <c r="A597" t="s">
        <v>606</v>
      </c>
      <c r="B597" s="4">
        <v>44669</v>
      </c>
      <c r="C597" s="1">
        <v>45025</v>
      </c>
      <c r="D597">
        <v>47</v>
      </c>
      <c r="E597" t="s">
        <v>912</v>
      </c>
      <c r="F597" t="s">
        <v>918</v>
      </c>
      <c r="G597" t="s">
        <v>922</v>
      </c>
      <c r="H597">
        <v>3658.18</v>
      </c>
      <c r="I597">
        <v>6</v>
      </c>
      <c r="J597">
        <v>22</v>
      </c>
      <c r="K597" t="s">
        <v>925</v>
      </c>
      <c r="L597" t="str">
        <f>IF(ISBLANK(Table1[[#This Row],[CancelDate]]),"Active","Churned")</f>
        <v>Churned</v>
      </c>
      <c r="M597">
        <f ca="1">IF(ISBLANK(Table1[[#This Row],[CancelDate]]),DATEDIF(Table1[[#This Row],[JoinDate]],TODAY(),"M"),DATEDIF(Table1[[#This Row],[JoinDate]],Table1[[#This Row],[CancelDate]],"M"))</f>
        <v>11</v>
      </c>
      <c r="N597" t="str">
        <f>IF(Table1[[#This Row],[EngagementScore]]&lt;=40,"Low",IF(Table1[[#This Row],[EngagementScore]]&lt;=70,"Medium","High"))</f>
        <v>Low</v>
      </c>
      <c r="O597" t="str">
        <f>IF(Table1[[#This Row],[Age]]&lt;25,"18-24",
IF(Table1[[#This Row],[Age]]&lt;35,"25-34",
IF(Table1[[#This Row],[Age]]&lt;45,"35-44","45+")))</f>
        <v>45+</v>
      </c>
    </row>
    <row r="598" spans="1:15" x14ac:dyDescent="0.25">
      <c r="A598" t="s">
        <v>607</v>
      </c>
      <c r="B598" s="4">
        <v>44938</v>
      </c>
      <c r="C598" s="1">
        <v>45121</v>
      </c>
      <c r="D598">
        <v>28</v>
      </c>
      <c r="E598" t="s">
        <v>912</v>
      </c>
      <c r="F598" t="s">
        <v>919</v>
      </c>
      <c r="G598" t="s">
        <v>921</v>
      </c>
      <c r="H598">
        <v>2963.39</v>
      </c>
      <c r="I598">
        <v>6</v>
      </c>
      <c r="J598">
        <v>37</v>
      </c>
      <c r="K598" t="s">
        <v>924</v>
      </c>
      <c r="L598" t="str">
        <f>IF(ISBLANK(Table1[[#This Row],[CancelDate]]),"Active","Churned")</f>
        <v>Churned</v>
      </c>
      <c r="M598">
        <f ca="1">IF(ISBLANK(Table1[[#This Row],[CancelDate]]),DATEDIF(Table1[[#This Row],[JoinDate]],TODAY(),"M"),DATEDIF(Table1[[#This Row],[JoinDate]],Table1[[#This Row],[CancelDate]],"M"))</f>
        <v>6</v>
      </c>
      <c r="N598" t="str">
        <f>IF(Table1[[#This Row],[EngagementScore]]&lt;=40,"Low",IF(Table1[[#This Row],[EngagementScore]]&lt;=70,"Medium","High"))</f>
        <v>Low</v>
      </c>
      <c r="O598" t="str">
        <f>IF(Table1[[#This Row],[Age]]&lt;25,"18-24",
IF(Table1[[#This Row],[Age]]&lt;35,"25-34",
IF(Table1[[#This Row],[Age]]&lt;45,"35-44","45+")))</f>
        <v>25-34</v>
      </c>
    </row>
    <row r="599" spans="1:15" x14ac:dyDescent="0.25">
      <c r="A599" t="s">
        <v>608</v>
      </c>
      <c r="B599" s="4">
        <v>44727</v>
      </c>
      <c r="D599">
        <v>47</v>
      </c>
      <c r="E599" t="s">
        <v>912</v>
      </c>
      <c r="F599" t="s">
        <v>916</v>
      </c>
      <c r="G599" t="s">
        <v>921</v>
      </c>
      <c r="H599">
        <v>12333.24</v>
      </c>
      <c r="I599">
        <v>12</v>
      </c>
      <c r="J599">
        <v>49</v>
      </c>
      <c r="K599" t="s">
        <v>913</v>
      </c>
      <c r="L599" t="str">
        <f>IF(ISBLANK(Table1[[#This Row],[CancelDate]]),"Active","Churned")</f>
        <v>Active</v>
      </c>
      <c r="M599">
        <f ca="1">IF(ISBLANK(Table1[[#This Row],[CancelDate]]),DATEDIF(Table1[[#This Row],[JoinDate]],TODAY(),"M"),DATEDIF(Table1[[#This Row],[JoinDate]],Table1[[#This Row],[CancelDate]],"M"))</f>
        <v>45</v>
      </c>
      <c r="N599" t="str">
        <f>IF(Table1[[#This Row],[EngagementScore]]&lt;=40,"Low",IF(Table1[[#This Row],[EngagementScore]]&lt;=70,"Medium","High"))</f>
        <v>Medium</v>
      </c>
      <c r="O599" t="str">
        <f>IF(Table1[[#This Row],[Age]]&lt;25,"18-24",
IF(Table1[[#This Row],[Age]]&lt;35,"25-34",
IF(Table1[[#This Row],[Age]]&lt;45,"35-44","45+")))</f>
        <v>45+</v>
      </c>
    </row>
    <row r="600" spans="1:15" x14ac:dyDescent="0.25">
      <c r="A600" t="s">
        <v>609</v>
      </c>
      <c r="B600" s="4">
        <v>45355</v>
      </c>
      <c r="C600" s="1">
        <v>45696</v>
      </c>
      <c r="D600">
        <v>54</v>
      </c>
      <c r="E600" t="s">
        <v>911</v>
      </c>
      <c r="F600" t="s">
        <v>915</v>
      </c>
      <c r="G600" t="s">
        <v>921</v>
      </c>
      <c r="H600">
        <v>11340.64</v>
      </c>
      <c r="I600">
        <v>11</v>
      </c>
      <c r="J600">
        <v>42</v>
      </c>
      <c r="K600" t="s">
        <v>925</v>
      </c>
      <c r="L600" t="str">
        <f>IF(ISBLANK(Table1[[#This Row],[CancelDate]]),"Active","Churned")</f>
        <v>Churned</v>
      </c>
      <c r="M600">
        <f ca="1">IF(ISBLANK(Table1[[#This Row],[CancelDate]]),DATEDIF(Table1[[#This Row],[JoinDate]],TODAY(),"M"),DATEDIF(Table1[[#This Row],[JoinDate]],Table1[[#This Row],[CancelDate]],"M"))</f>
        <v>11</v>
      </c>
      <c r="N600" t="str">
        <f>IF(Table1[[#This Row],[EngagementScore]]&lt;=40,"Low",IF(Table1[[#This Row],[EngagementScore]]&lt;=70,"Medium","High"))</f>
        <v>Medium</v>
      </c>
      <c r="O600" t="str">
        <f>IF(Table1[[#This Row],[Age]]&lt;25,"18-24",
IF(Table1[[#This Row],[Age]]&lt;35,"25-34",
IF(Table1[[#This Row],[Age]]&lt;45,"35-44","45+")))</f>
        <v>45+</v>
      </c>
    </row>
    <row r="601" spans="1:15" x14ac:dyDescent="0.25">
      <c r="A601" t="s">
        <v>610</v>
      </c>
      <c r="B601" s="4">
        <v>44944</v>
      </c>
      <c r="D601">
        <v>43</v>
      </c>
      <c r="E601" t="s">
        <v>912</v>
      </c>
      <c r="F601" t="s">
        <v>914</v>
      </c>
      <c r="G601" t="s">
        <v>921</v>
      </c>
      <c r="H601">
        <v>9520.68</v>
      </c>
      <c r="I601">
        <v>13</v>
      </c>
      <c r="J601">
        <v>69</v>
      </c>
      <c r="K601" t="s">
        <v>925</v>
      </c>
      <c r="L601" t="str">
        <f>IF(ISBLANK(Table1[[#This Row],[CancelDate]]),"Active","Churned")</f>
        <v>Active</v>
      </c>
      <c r="M601">
        <f ca="1">IF(ISBLANK(Table1[[#This Row],[CancelDate]]),DATEDIF(Table1[[#This Row],[JoinDate]],TODAY(),"M"),DATEDIF(Table1[[#This Row],[JoinDate]],Table1[[#This Row],[CancelDate]],"M"))</f>
        <v>38</v>
      </c>
      <c r="N601" t="str">
        <f>IF(Table1[[#This Row],[EngagementScore]]&lt;=40,"Low",IF(Table1[[#This Row],[EngagementScore]]&lt;=70,"Medium","High"))</f>
        <v>Medium</v>
      </c>
      <c r="O601" t="str">
        <f>IF(Table1[[#This Row],[Age]]&lt;25,"18-24",
IF(Table1[[#This Row],[Age]]&lt;35,"25-34",
IF(Table1[[#This Row],[Age]]&lt;45,"35-44","45+")))</f>
        <v>35-44</v>
      </c>
    </row>
    <row r="602" spans="1:15" x14ac:dyDescent="0.25">
      <c r="A602" t="s">
        <v>611</v>
      </c>
      <c r="B602" s="4">
        <v>45142</v>
      </c>
      <c r="C602" s="1">
        <v>45391</v>
      </c>
      <c r="D602">
        <v>28</v>
      </c>
      <c r="E602" t="s">
        <v>911</v>
      </c>
      <c r="F602" t="s">
        <v>918</v>
      </c>
      <c r="G602" t="s">
        <v>921</v>
      </c>
      <c r="H602">
        <v>6654.87</v>
      </c>
      <c r="I602">
        <v>3</v>
      </c>
      <c r="J602">
        <v>39</v>
      </c>
      <c r="K602" t="s">
        <v>923</v>
      </c>
      <c r="L602" t="str">
        <f>IF(ISBLANK(Table1[[#This Row],[CancelDate]]),"Active","Churned")</f>
        <v>Churned</v>
      </c>
      <c r="M602">
        <f ca="1">IF(ISBLANK(Table1[[#This Row],[CancelDate]]),DATEDIF(Table1[[#This Row],[JoinDate]],TODAY(),"M"),DATEDIF(Table1[[#This Row],[JoinDate]],Table1[[#This Row],[CancelDate]],"M"))</f>
        <v>8</v>
      </c>
      <c r="N602" t="str">
        <f>IF(Table1[[#This Row],[EngagementScore]]&lt;=40,"Low",IF(Table1[[#This Row],[EngagementScore]]&lt;=70,"Medium","High"))</f>
        <v>Low</v>
      </c>
      <c r="O602" t="str">
        <f>IF(Table1[[#This Row],[Age]]&lt;25,"18-24",
IF(Table1[[#This Row],[Age]]&lt;35,"25-34",
IF(Table1[[#This Row],[Age]]&lt;45,"35-44","45+")))</f>
        <v>25-34</v>
      </c>
    </row>
    <row r="603" spans="1:15" x14ac:dyDescent="0.25">
      <c r="A603" t="s">
        <v>612</v>
      </c>
      <c r="B603" s="4">
        <v>44975</v>
      </c>
      <c r="D603">
        <v>40</v>
      </c>
      <c r="E603" t="s">
        <v>912</v>
      </c>
      <c r="F603" t="s">
        <v>916</v>
      </c>
      <c r="G603" t="s">
        <v>921</v>
      </c>
      <c r="H603">
        <v>6396.47</v>
      </c>
      <c r="I603">
        <v>2</v>
      </c>
      <c r="J603">
        <v>22</v>
      </c>
      <c r="K603" t="s">
        <v>925</v>
      </c>
      <c r="L603" t="str">
        <f>IF(ISBLANK(Table1[[#This Row],[CancelDate]]),"Active","Churned")</f>
        <v>Active</v>
      </c>
      <c r="M603">
        <f ca="1">IF(ISBLANK(Table1[[#This Row],[CancelDate]]),DATEDIF(Table1[[#This Row],[JoinDate]],TODAY(),"M"),DATEDIF(Table1[[#This Row],[JoinDate]],Table1[[#This Row],[CancelDate]],"M"))</f>
        <v>37</v>
      </c>
      <c r="N603" t="str">
        <f>IF(Table1[[#This Row],[EngagementScore]]&lt;=40,"Low",IF(Table1[[#This Row],[EngagementScore]]&lt;=70,"Medium","High"))</f>
        <v>Low</v>
      </c>
      <c r="O603" t="str">
        <f>IF(Table1[[#This Row],[Age]]&lt;25,"18-24",
IF(Table1[[#This Row],[Age]]&lt;35,"25-34",
IF(Table1[[#This Row],[Age]]&lt;45,"35-44","45+")))</f>
        <v>35-44</v>
      </c>
    </row>
    <row r="604" spans="1:15" x14ac:dyDescent="0.25">
      <c r="A604" t="s">
        <v>613</v>
      </c>
      <c r="B604" s="4">
        <v>44712</v>
      </c>
      <c r="D604">
        <v>34</v>
      </c>
      <c r="E604" t="s">
        <v>912</v>
      </c>
      <c r="F604" t="s">
        <v>916</v>
      </c>
      <c r="G604" t="s">
        <v>922</v>
      </c>
      <c r="H604">
        <v>15859.17</v>
      </c>
      <c r="I604">
        <v>28</v>
      </c>
      <c r="J604">
        <v>83</v>
      </c>
      <c r="K604" t="s">
        <v>925</v>
      </c>
      <c r="L604" t="str">
        <f>IF(ISBLANK(Table1[[#This Row],[CancelDate]]),"Active","Churned")</f>
        <v>Active</v>
      </c>
      <c r="M604">
        <f ca="1">IF(ISBLANK(Table1[[#This Row],[CancelDate]]),DATEDIF(Table1[[#This Row],[JoinDate]],TODAY(),"M"),DATEDIF(Table1[[#This Row],[JoinDate]],Table1[[#This Row],[CancelDate]],"M"))</f>
        <v>46</v>
      </c>
      <c r="N604" t="str">
        <f>IF(Table1[[#This Row],[EngagementScore]]&lt;=40,"Low",IF(Table1[[#This Row],[EngagementScore]]&lt;=70,"Medium","High"))</f>
        <v>High</v>
      </c>
      <c r="O604" t="str">
        <f>IF(Table1[[#This Row],[Age]]&lt;25,"18-24",
IF(Table1[[#This Row],[Age]]&lt;35,"25-34",
IF(Table1[[#This Row],[Age]]&lt;45,"35-44","45+")))</f>
        <v>25-34</v>
      </c>
    </row>
    <row r="605" spans="1:15" x14ac:dyDescent="0.25">
      <c r="A605" t="s">
        <v>614</v>
      </c>
      <c r="B605" s="4">
        <v>44594</v>
      </c>
      <c r="C605" s="1">
        <v>44730</v>
      </c>
      <c r="D605">
        <v>34</v>
      </c>
      <c r="E605" t="s">
        <v>911</v>
      </c>
      <c r="F605" t="s">
        <v>914</v>
      </c>
      <c r="G605" t="s">
        <v>922</v>
      </c>
      <c r="H605">
        <v>13162.39</v>
      </c>
      <c r="I605">
        <v>7</v>
      </c>
      <c r="J605">
        <v>43</v>
      </c>
      <c r="K605" t="s">
        <v>925</v>
      </c>
      <c r="L605" t="str">
        <f>IF(ISBLANK(Table1[[#This Row],[CancelDate]]),"Active","Churned")</f>
        <v>Churned</v>
      </c>
      <c r="M605">
        <f ca="1">IF(ISBLANK(Table1[[#This Row],[CancelDate]]),DATEDIF(Table1[[#This Row],[JoinDate]],TODAY(),"M"),DATEDIF(Table1[[#This Row],[JoinDate]],Table1[[#This Row],[CancelDate]],"M"))</f>
        <v>4</v>
      </c>
      <c r="N605" t="str">
        <f>IF(Table1[[#This Row],[EngagementScore]]&lt;=40,"Low",IF(Table1[[#This Row],[EngagementScore]]&lt;=70,"Medium","High"))</f>
        <v>Medium</v>
      </c>
      <c r="O605" t="str">
        <f>IF(Table1[[#This Row],[Age]]&lt;25,"18-24",
IF(Table1[[#This Row],[Age]]&lt;35,"25-34",
IF(Table1[[#This Row],[Age]]&lt;45,"35-44","45+")))</f>
        <v>25-34</v>
      </c>
    </row>
    <row r="606" spans="1:15" x14ac:dyDescent="0.25">
      <c r="A606" t="s">
        <v>615</v>
      </c>
      <c r="B606" s="4">
        <v>45393</v>
      </c>
      <c r="D606">
        <v>52</v>
      </c>
      <c r="E606" t="s">
        <v>911</v>
      </c>
      <c r="F606" t="s">
        <v>918</v>
      </c>
      <c r="G606" t="s">
        <v>921</v>
      </c>
      <c r="H606">
        <v>12538.47</v>
      </c>
      <c r="I606">
        <v>25</v>
      </c>
      <c r="J606">
        <v>95</v>
      </c>
      <c r="K606" t="s">
        <v>924</v>
      </c>
      <c r="L606" t="str">
        <f>IF(ISBLANK(Table1[[#This Row],[CancelDate]]),"Active","Churned")</f>
        <v>Active</v>
      </c>
      <c r="M606">
        <f ca="1">IF(ISBLANK(Table1[[#This Row],[CancelDate]]),DATEDIF(Table1[[#This Row],[JoinDate]],TODAY(),"M"),DATEDIF(Table1[[#This Row],[JoinDate]],Table1[[#This Row],[CancelDate]],"M"))</f>
        <v>23</v>
      </c>
      <c r="N606" t="str">
        <f>IF(Table1[[#This Row],[EngagementScore]]&lt;=40,"Low",IF(Table1[[#This Row],[EngagementScore]]&lt;=70,"Medium","High"))</f>
        <v>High</v>
      </c>
      <c r="O606" t="str">
        <f>IF(Table1[[#This Row],[Age]]&lt;25,"18-24",
IF(Table1[[#This Row],[Age]]&lt;35,"25-34",
IF(Table1[[#This Row],[Age]]&lt;45,"35-44","45+")))</f>
        <v>45+</v>
      </c>
    </row>
    <row r="607" spans="1:15" x14ac:dyDescent="0.25">
      <c r="A607" t="s">
        <v>616</v>
      </c>
      <c r="B607" s="4">
        <v>45032</v>
      </c>
      <c r="D607">
        <v>34</v>
      </c>
      <c r="E607" t="s">
        <v>911</v>
      </c>
      <c r="F607" t="s">
        <v>919</v>
      </c>
      <c r="G607" t="s">
        <v>922</v>
      </c>
      <c r="H607">
        <v>19441.07</v>
      </c>
      <c r="I607">
        <v>24</v>
      </c>
      <c r="J607">
        <v>87</v>
      </c>
      <c r="K607" t="s">
        <v>925</v>
      </c>
      <c r="L607" t="str">
        <f>IF(ISBLANK(Table1[[#This Row],[CancelDate]]),"Active","Churned")</f>
        <v>Active</v>
      </c>
      <c r="M607">
        <f ca="1">IF(ISBLANK(Table1[[#This Row],[CancelDate]]),DATEDIF(Table1[[#This Row],[JoinDate]],TODAY(),"M"),DATEDIF(Table1[[#This Row],[JoinDate]],Table1[[#This Row],[CancelDate]],"M"))</f>
        <v>35</v>
      </c>
      <c r="N607" t="str">
        <f>IF(Table1[[#This Row],[EngagementScore]]&lt;=40,"Low",IF(Table1[[#This Row],[EngagementScore]]&lt;=70,"Medium","High"))</f>
        <v>High</v>
      </c>
      <c r="O607" t="str">
        <f>IF(Table1[[#This Row],[Age]]&lt;25,"18-24",
IF(Table1[[#This Row],[Age]]&lt;35,"25-34",
IF(Table1[[#This Row],[Age]]&lt;45,"35-44","45+")))</f>
        <v>25-34</v>
      </c>
    </row>
    <row r="608" spans="1:15" x14ac:dyDescent="0.25">
      <c r="A608" t="s">
        <v>617</v>
      </c>
      <c r="B608" s="4">
        <v>45300</v>
      </c>
      <c r="D608">
        <v>30</v>
      </c>
      <c r="E608" t="s">
        <v>912</v>
      </c>
      <c r="F608" t="s">
        <v>914</v>
      </c>
      <c r="G608" t="s">
        <v>921</v>
      </c>
      <c r="H608">
        <v>7451.48</v>
      </c>
      <c r="I608">
        <v>9</v>
      </c>
      <c r="J608">
        <v>69</v>
      </c>
      <c r="K608" t="s">
        <v>924</v>
      </c>
      <c r="L608" t="str">
        <f>IF(ISBLANK(Table1[[#This Row],[CancelDate]]),"Active","Churned")</f>
        <v>Active</v>
      </c>
      <c r="M608">
        <f ca="1">IF(ISBLANK(Table1[[#This Row],[CancelDate]]),DATEDIF(Table1[[#This Row],[JoinDate]],TODAY(),"M"),DATEDIF(Table1[[#This Row],[JoinDate]],Table1[[#This Row],[CancelDate]],"M"))</f>
        <v>26</v>
      </c>
      <c r="N608" t="str">
        <f>IF(Table1[[#This Row],[EngagementScore]]&lt;=40,"Low",IF(Table1[[#This Row],[EngagementScore]]&lt;=70,"Medium","High"))</f>
        <v>Medium</v>
      </c>
      <c r="O608" t="str">
        <f>IF(Table1[[#This Row],[Age]]&lt;25,"18-24",
IF(Table1[[#This Row],[Age]]&lt;35,"25-34",
IF(Table1[[#This Row],[Age]]&lt;45,"35-44","45+")))</f>
        <v>25-34</v>
      </c>
    </row>
    <row r="609" spans="1:15" x14ac:dyDescent="0.25">
      <c r="A609" t="s">
        <v>618</v>
      </c>
      <c r="B609" s="4">
        <v>44572</v>
      </c>
      <c r="D609">
        <v>21</v>
      </c>
      <c r="E609" t="s">
        <v>911</v>
      </c>
      <c r="F609" t="s">
        <v>916</v>
      </c>
      <c r="G609" t="s">
        <v>920</v>
      </c>
      <c r="H609">
        <v>14504.85</v>
      </c>
      <c r="I609">
        <v>13</v>
      </c>
      <c r="J609">
        <v>47</v>
      </c>
      <c r="K609" t="s">
        <v>924</v>
      </c>
      <c r="L609" t="str">
        <f>IF(ISBLANK(Table1[[#This Row],[CancelDate]]),"Active","Churned")</f>
        <v>Active</v>
      </c>
      <c r="M609">
        <f ca="1">IF(ISBLANK(Table1[[#This Row],[CancelDate]]),DATEDIF(Table1[[#This Row],[JoinDate]],TODAY(),"M"),DATEDIF(Table1[[#This Row],[JoinDate]],Table1[[#This Row],[CancelDate]],"M"))</f>
        <v>50</v>
      </c>
      <c r="N609" t="str">
        <f>IF(Table1[[#This Row],[EngagementScore]]&lt;=40,"Low",IF(Table1[[#This Row],[EngagementScore]]&lt;=70,"Medium","High"))</f>
        <v>Medium</v>
      </c>
      <c r="O609" t="str">
        <f>IF(Table1[[#This Row],[Age]]&lt;25,"18-24",
IF(Table1[[#This Row],[Age]]&lt;35,"25-34",
IF(Table1[[#This Row],[Age]]&lt;45,"35-44","45+")))</f>
        <v>18-24</v>
      </c>
    </row>
    <row r="610" spans="1:15" x14ac:dyDescent="0.25">
      <c r="A610" t="s">
        <v>619</v>
      </c>
      <c r="B610" s="4">
        <v>44895</v>
      </c>
      <c r="D610">
        <v>44</v>
      </c>
      <c r="E610" t="s">
        <v>911</v>
      </c>
      <c r="F610" t="s">
        <v>917</v>
      </c>
      <c r="G610" t="s">
        <v>922</v>
      </c>
      <c r="H610">
        <v>28585.8</v>
      </c>
      <c r="I610">
        <v>27</v>
      </c>
      <c r="J610">
        <v>78</v>
      </c>
      <c r="K610" t="s">
        <v>923</v>
      </c>
      <c r="L610" t="str">
        <f>IF(ISBLANK(Table1[[#This Row],[CancelDate]]),"Active","Churned")</f>
        <v>Active</v>
      </c>
      <c r="M610">
        <f ca="1">IF(ISBLANK(Table1[[#This Row],[CancelDate]]),DATEDIF(Table1[[#This Row],[JoinDate]],TODAY(),"M"),DATEDIF(Table1[[#This Row],[JoinDate]],Table1[[#This Row],[CancelDate]],"M"))</f>
        <v>40</v>
      </c>
      <c r="N610" t="str">
        <f>IF(Table1[[#This Row],[EngagementScore]]&lt;=40,"Low",IF(Table1[[#This Row],[EngagementScore]]&lt;=70,"Medium","High"))</f>
        <v>High</v>
      </c>
      <c r="O610" t="str">
        <f>IF(Table1[[#This Row],[Age]]&lt;25,"18-24",
IF(Table1[[#This Row],[Age]]&lt;35,"25-34",
IF(Table1[[#This Row],[Age]]&lt;45,"35-44","45+")))</f>
        <v>35-44</v>
      </c>
    </row>
    <row r="611" spans="1:15" x14ac:dyDescent="0.25">
      <c r="A611" t="s">
        <v>620</v>
      </c>
      <c r="B611" s="4">
        <v>45237</v>
      </c>
      <c r="D611">
        <v>46</v>
      </c>
      <c r="E611" t="s">
        <v>911</v>
      </c>
      <c r="F611" t="s">
        <v>917</v>
      </c>
      <c r="G611" t="s">
        <v>921</v>
      </c>
      <c r="H611">
        <v>3979.8</v>
      </c>
      <c r="I611">
        <v>7</v>
      </c>
      <c r="J611">
        <v>30</v>
      </c>
      <c r="K611" t="s">
        <v>925</v>
      </c>
      <c r="L611" t="str">
        <f>IF(ISBLANK(Table1[[#This Row],[CancelDate]]),"Active","Churned")</f>
        <v>Active</v>
      </c>
      <c r="M611">
        <f ca="1">IF(ISBLANK(Table1[[#This Row],[CancelDate]]),DATEDIF(Table1[[#This Row],[JoinDate]],TODAY(),"M"),DATEDIF(Table1[[#This Row],[JoinDate]],Table1[[#This Row],[CancelDate]],"M"))</f>
        <v>28</v>
      </c>
      <c r="N611" t="str">
        <f>IF(Table1[[#This Row],[EngagementScore]]&lt;=40,"Low",IF(Table1[[#This Row],[EngagementScore]]&lt;=70,"Medium","High"))</f>
        <v>Low</v>
      </c>
      <c r="O611" t="str">
        <f>IF(Table1[[#This Row],[Age]]&lt;25,"18-24",
IF(Table1[[#This Row],[Age]]&lt;35,"25-34",
IF(Table1[[#This Row],[Age]]&lt;45,"35-44","45+")))</f>
        <v>45+</v>
      </c>
    </row>
    <row r="612" spans="1:15" x14ac:dyDescent="0.25">
      <c r="A612" t="s">
        <v>621</v>
      </c>
      <c r="B612" s="4">
        <v>45112</v>
      </c>
      <c r="C612" s="1">
        <v>45355</v>
      </c>
      <c r="D612">
        <v>55</v>
      </c>
      <c r="E612" t="s">
        <v>912</v>
      </c>
      <c r="F612" t="s">
        <v>916</v>
      </c>
      <c r="G612" t="s">
        <v>921</v>
      </c>
      <c r="H612">
        <v>7695.59</v>
      </c>
      <c r="I612">
        <v>11</v>
      </c>
      <c r="J612">
        <v>43</v>
      </c>
      <c r="K612" t="s">
        <v>925</v>
      </c>
      <c r="L612" t="str">
        <f>IF(ISBLANK(Table1[[#This Row],[CancelDate]]),"Active","Churned")</f>
        <v>Churned</v>
      </c>
      <c r="M612">
        <f ca="1">IF(ISBLANK(Table1[[#This Row],[CancelDate]]),DATEDIF(Table1[[#This Row],[JoinDate]],TODAY(),"M"),DATEDIF(Table1[[#This Row],[JoinDate]],Table1[[#This Row],[CancelDate]],"M"))</f>
        <v>7</v>
      </c>
      <c r="N612" t="str">
        <f>IF(Table1[[#This Row],[EngagementScore]]&lt;=40,"Low",IF(Table1[[#This Row],[EngagementScore]]&lt;=70,"Medium","High"))</f>
        <v>Medium</v>
      </c>
      <c r="O612" t="str">
        <f>IF(Table1[[#This Row],[Age]]&lt;25,"18-24",
IF(Table1[[#This Row],[Age]]&lt;35,"25-34",
IF(Table1[[#This Row],[Age]]&lt;45,"35-44","45+")))</f>
        <v>45+</v>
      </c>
    </row>
    <row r="613" spans="1:15" x14ac:dyDescent="0.25">
      <c r="A613" t="s">
        <v>622</v>
      </c>
      <c r="B613" s="4">
        <v>44921</v>
      </c>
      <c r="C613" s="1">
        <v>45256</v>
      </c>
      <c r="D613">
        <v>43</v>
      </c>
      <c r="E613" t="s">
        <v>912</v>
      </c>
      <c r="F613" t="s">
        <v>914</v>
      </c>
      <c r="G613" t="s">
        <v>921</v>
      </c>
      <c r="H613">
        <v>10001.07</v>
      </c>
      <c r="I613">
        <v>14</v>
      </c>
      <c r="J613">
        <v>58</v>
      </c>
      <c r="K613" t="s">
        <v>925</v>
      </c>
      <c r="L613" t="str">
        <f>IF(ISBLANK(Table1[[#This Row],[CancelDate]]),"Active","Churned")</f>
        <v>Churned</v>
      </c>
      <c r="M613">
        <f ca="1">IF(ISBLANK(Table1[[#This Row],[CancelDate]]),DATEDIF(Table1[[#This Row],[JoinDate]],TODAY(),"M"),DATEDIF(Table1[[#This Row],[JoinDate]],Table1[[#This Row],[CancelDate]],"M"))</f>
        <v>11</v>
      </c>
      <c r="N613" t="str">
        <f>IF(Table1[[#This Row],[EngagementScore]]&lt;=40,"Low",IF(Table1[[#This Row],[EngagementScore]]&lt;=70,"Medium","High"))</f>
        <v>Medium</v>
      </c>
      <c r="O613" t="str">
        <f>IF(Table1[[#This Row],[Age]]&lt;25,"18-24",
IF(Table1[[#This Row],[Age]]&lt;35,"25-34",
IF(Table1[[#This Row],[Age]]&lt;45,"35-44","45+")))</f>
        <v>35-44</v>
      </c>
    </row>
    <row r="614" spans="1:15" x14ac:dyDescent="0.25">
      <c r="A614" t="s">
        <v>623</v>
      </c>
      <c r="B614" s="4">
        <v>45186</v>
      </c>
      <c r="D614">
        <v>53</v>
      </c>
      <c r="E614" t="s">
        <v>912</v>
      </c>
      <c r="F614" t="s">
        <v>916</v>
      </c>
      <c r="G614" t="s">
        <v>920</v>
      </c>
      <c r="H614">
        <v>29383.05</v>
      </c>
      <c r="I614">
        <v>25</v>
      </c>
      <c r="J614">
        <v>87</v>
      </c>
      <c r="K614" t="s">
        <v>924</v>
      </c>
      <c r="L614" t="str">
        <f>IF(ISBLANK(Table1[[#This Row],[CancelDate]]),"Active","Churned")</f>
        <v>Active</v>
      </c>
      <c r="M614">
        <f ca="1">IF(ISBLANK(Table1[[#This Row],[CancelDate]]),DATEDIF(Table1[[#This Row],[JoinDate]],TODAY(),"M"),DATEDIF(Table1[[#This Row],[JoinDate]],Table1[[#This Row],[CancelDate]],"M"))</f>
        <v>30</v>
      </c>
      <c r="N614" t="str">
        <f>IF(Table1[[#This Row],[EngagementScore]]&lt;=40,"Low",IF(Table1[[#This Row],[EngagementScore]]&lt;=70,"Medium","High"))</f>
        <v>High</v>
      </c>
      <c r="O614" t="str">
        <f>IF(Table1[[#This Row],[Age]]&lt;25,"18-24",
IF(Table1[[#This Row],[Age]]&lt;35,"25-34",
IF(Table1[[#This Row],[Age]]&lt;45,"35-44","45+")))</f>
        <v>45+</v>
      </c>
    </row>
    <row r="615" spans="1:15" x14ac:dyDescent="0.25">
      <c r="A615" t="s">
        <v>624</v>
      </c>
      <c r="B615" s="4">
        <v>45026</v>
      </c>
      <c r="D615">
        <v>40</v>
      </c>
      <c r="E615" t="s">
        <v>912</v>
      </c>
      <c r="F615" t="s">
        <v>919</v>
      </c>
      <c r="G615" t="s">
        <v>922</v>
      </c>
      <c r="H615">
        <v>25295.55</v>
      </c>
      <c r="I615">
        <v>16</v>
      </c>
      <c r="J615">
        <v>95</v>
      </c>
      <c r="K615" t="s">
        <v>923</v>
      </c>
      <c r="L615" t="str">
        <f>IF(ISBLANK(Table1[[#This Row],[CancelDate]]),"Active","Churned")</f>
        <v>Active</v>
      </c>
      <c r="M615">
        <f ca="1">IF(ISBLANK(Table1[[#This Row],[CancelDate]]),DATEDIF(Table1[[#This Row],[JoinDate]],TODAY(),"M"),DATEDIF(Table1[[#This Row],[JoinDate]],Table1[[#This Row],[CancelDate]],"M"))</f>
        <v>35</v>
      </c>
      <c r="N615" t="str">
        <f>IF(Table1[[#This Row],[EngagementScore]]&lt;=40,"Low",IF(Table1[[#This Row],[EngagementScore]]&lt;=70,"Medium","High"))</f>
        <v>High</v>
      </c>
      <c r="O615" t="str">
        <f>IF(Table1[[#This Row],[Age]]&lt;25,"18-24",
IF(Table1[[#This Row],[Age]]&lt;35,"25-34",
IF(Table1[[#This Row],[Age]]&lt;45,"35-44","45+")))</f>
        <v>35-44</v>
      </c>
    </row>
    <row r="616" spans="1:15" x14ac:dyDescent="0.25">
      <c r="A616" t="s">
        <v>625</v>
      </c>
      <c r="B616" s="4">
        <v>45074</v>
      </c>
      <c r="D616">
        <v>26</v>
      </c>
      <c r="E616" t="s">
        <v>912</v>
      </c>
      <c r="F616" t="s">
        <v>917</v>
      </c>
      <c r="G616" t="s">
        <v>921</v>
      </c>
      <c r="H616">
        <v>25541.32</v>
      </c>
      <c r="I616">
        <v>15</v>
      </c>
      <c r="J616">
        <v>82</v>
      </c>
      <c r="K616" t="s">
        <v>923</v>
      </c>
      <c r="L616" t="str">
        <f>IF(ISBLANK(Table1[[#This Row],[CancelDate]]),"Active","Churned")</f>
        <v>Active</v>
      </c>
      <c r="M616">
        <f ca="1">IF(ISBLANK(Table1[[#This Row],[CancelDate]]),DATEDIF(Table1[[#This Row],[JoinDate]],TODAY(),"M"),DATEDIF(Table1[[#This Row],[JoinDate]],Table1[[#This Row],[CancelDate]],"M"))</f>
        <v>34</v>
      </c>
      <c r="N616" t="str">
        <f>IF(Table1[[#This Row],[EngagementScore]]&lt;=40,"Low",IF(Table1[[#This Row],[EngagementScore]]&lt;=70,"Medium","High"))</f>
        <v>High</v>
      </c>
      <c r="O616" t="str">
        <f>IF(Table1[[#This Row],[Age]]&lt;25,"18-24",
IF(Table1[[#This Row],[Age]]&lt;35,"25-34",
IF(Table1[[#This Row],[Age]]&lt;45,"35-44","45+")))</f>
        <v>25-34</v>
      </c>
    </row>
    <row r="617" spans="1:15" x14ac:dyDescent="0.25">
      <c r="A617" t="s">
        <v>626</v>
      </c>
      <c r="B617" s="4">
        <v>44644</v>
      </c>
      <c r="D617">
        <v>19</v>
      </c>
      <c r="E617" t="s">
        <v>912</v>
      </c>
      <c r="F617" t="s">
        <v>917</v>
      </c>
      <c r="G617" t="s">
        <v>922</v>
      </c>
      <c r="H617">
        <v>16020.45</v>
      </c>
      <c r="I617">
        <v>20</v>
      </c>
      <c r="J617">
        <v>89</v>
      </c>
      <c r="K617" t="s">
        <v>925</v>
      </c>
      <c r="L617" t="str">
        <f>IF(ISBLANK(Table1[[#This Row],[CancelDate]]),"Active","Churned")</f>
        <v>Active</v>
      </c>
      <c r="M617">
        <f ca="1">IF(ISBLANK(Table1[[#This Row],[CancelDate]]),DATEDIF(Table1[[#This Row],[JoinDate]],TODAY(),"M"),DATEDIF(Table1[[#This Row],[JoinDate]],Table1[[#This Row],[CancelDate]],"M"))</f>
        <v>48</v>
      </c>
      <c r="N617" t="str">
        <f>IF(Table1[[#This Row],[EngagementScore]]&lt;=40,"Low",IF(Table1[[#This Row],[EngagementScore]]&lt;=70,"Medium","High"))</f>
        <v>High</v>
      </c>
      <c r="O617" t="str">
        <f>IF(Table1[[#This Row],[Age]]&lt;25,"18-24",
IF(Table1[[#This Row],[Age]]&lt;35,"25-34",
IF(Table1[[#This Row],[Age]]&lt;45,"35-44","45+")))</f>
        <v>18-24</v>
      </c>
    </row>
    <row r="618" spans="1:15" x14ac:dyDescent="0.25">
      <c r="A618" t="s">
        <v>627</v>
      </c>
      <c r="B618" s="4">
        <v>45336</v>
      </c>
      <c r="D618">
        <v>49</v>
      </c>
      <c r="E618" t="s">
        <v>912</v>
      </c>
      <c r="F618" t="s">
        <v>916</v>
      </c>
      <c r="G618" t="s">
        <v>921</v>
      </c>
      <c r="H618">
        <v>14441.35</v>
      </c>
      <c r="I618">
        <v>8</v>
      </c>
      <c r="J618">
        <v>67</v>
      </c>
      <c r="K618" t="s">
        <v>923</v>
      </c>
      <c r="L618" t="str">
        <f>IF(ISBLANK(Table1[[#This Row],[CancelDate]]),"Active","Churned")</f>
        <v>Active</v>
      </c>
      <c r="M618">
        <f ca="1">IF(ISBLANK(Table1[[#This Row],[CancelDate]]),DATEDIF(Table1[[#This Row],[JoinDate]],TODAY(),"M"),DATEDIF(Table1[[#This Row],[JoinDate]],Table1[[#This Row],[CancelDate]],"M"))</f>
        <v>25</v>
      </c>
      <c r="N618" t="str">
        <f>IF(Table1[[#This Row],[EngagementScore]]&lt;=40,"Low",IF(Table1[[#This Row],[EngagementScore]]&lt;=70,"Medium","High"))</f>
        <v>Medium</v>
      </c>
      <c r="O618" t="str">
        <f>IF(Table1[[#This Row],[Age]]&lt;25,"18-24",
IF(Table1[[#This Row],[Age]]&lt;35,"25-34",
IF(Table1[[#This Row],[Age]]&lt;45,"35-44","45+")))</f>
        <v>45+</v>
      </c>
    </row>
    <row r="619" spans="1:15" x14ac:dyDescent="0.25">
      <c r="A619" t="s">
        <v>628</v>
      </c>
      <c r="B619" s="4">
        <v>44820</v>
      </c>
      <c r="C619" s="1">
        <v>44853</v>
      </c>
      <c r="D619">
        <v>59</v>
      </c>
      <c r="E619" t="s">
        <v>912</v>
      </c>
      <c r="F619" t="s">
        <v>915</v>
      </c>
      <c r="G619" t="s">
        <v>921</v>
      </c>
      <c r="H619">
        <v>5646.6</v>
      </c>
      <c r="I619">
        <v>12</v>
      </c>
      <c r="J619">
        <v>40</v>
      </c>
      <c r="K619" t="s">
        <v>913</v>
      </c>
      <c r="L619" t="str">
        <f>IF(ISBLANK(Table1[[#This Row],[CancelDate]]),"Active","Churned")</f>
        <v>Churned</v>
      </c>
      <c r="M619">
        <f ca="1">IF(ISBLANK(Table1[[#This Row],[CancelDate]]),DATEDIF(Table1[[#This Row],[JoinDate]],TODAY(),"M"),DATEDIF(Table1[[#This Row],[JoinDate]],Table1[[#This Row],[CancelDate]],"M"))</f>
        <v>1</v>
      </c>
      <c r="N619" t="str">
        <f>IF(Table1[[#This Row],[EngagementScore]]&lt;=40,"Low",IF(Table1[[#This Row],[EngagementScore]]&lt;=70,"Medium","High"))</f>
        <v>Low</v>
      </c>
      <c r="O619" t="str">
        <f>IF(Table1[[#This Row],[Age]]&lt;25,"18-24",
IF(Table1[[#This Row],[Age]]&lt;35,"25-34",
IF(Table1[[#This Row],[Age]]&lt;45,"35-44","45+")))</f>
        <v>45+</v>
      </c>
    </row>
    <row r="620" spans="1:15" x14ac:dyDescent="0.25">
      <c r="A620" t="s">
        <v>629</v>
      </c>
      <c r="B620" s="4">
        <v>44576</v>
      </c>
      <c r="D620">
        <v>48</v>
      </c>
      <c r="E620" t="s">
        <v>911</v>
      </c>
      <c r="F620" t="s">
        <v>916</v>
      </c>
      <c r="G620" t="s">
        <v>922</v>
      </c>
      <c r="H620">
        <v>13840.61</v>
      </c>
      <c r="I620">
        <v>5</v>
      </c>
      <c r="J620">
        <v>48</v>
      </c>
      <c r="K620" t="s">
        <v>925</v>
      </c>
      <c r="L620" t="str">
        <f>IF(ISBLANK(Table1[[#This Row],[CancelDate]]),"Active","Churned")</f>
        <v>Active</v>
      </c>
      <c r="M620">
        <f ca="1">IF(ISBLANK(Table1[[#This Row],[CancelDate]]),DATEDIF(Table1[[#This Row],[JoinDate]],TODAY(),"M"),DATEDIF(Table1[[#This Row],[JoinDate]],Table1[[#This Row],[CancelDate]],"M"))</f>
        <v>50</v>
      </c>
      <c r="N620" t="str">
        <f>IF(Table1[[#This Row],[EngagementScore]]&lt;=40,"Low",IF(Table1[[#This Row],[EngagementScore]]&lt;=70,"Medium","High"))</f>
        <v>Medium</v>
      </c>
      <c r="O620" t="str">
        <f>IF(Table1[[#This Row],[Age]]&lt;25,"18-24",
IF(Table1[[#This Row],[Age]]&lt;35,"25-34",
IF(Table1[[#This Row],[Age]]&lt;45,"35-44","45+")))</f>
        <v>45+</v>
      </c>
    </row>
    <row r="621" spans="1:15" x14ac:dyDescent="0.25">
      <c r="A621" t="s">
        <v>630</v>
      </c>
      <c r="B621" s="4">
        <v>45248</v>
      </c>
      <c r="D621">
        <v>46</v>
      </c>
      <c r="E621" t="s">
        <v>912</v>
      </c>
      <c r="F621" t="s">
        <v>915</v>
      </c>
      <c r="G621" t="s">
        <v>921</v>
      </c>
      <c r="H621">
        <v>8310.43</v>
      </c>
      <c r="I621">
        <v>5</v>
      </c>
      <c r="J621">
        <v>60</v>
      </c>
      <c r="K621" t="s">
        <v>925</v>
      </c>
      <c r="L621" t="str">
        <f>IF(ISBLANK(Table1[[#This Row],[CancelDate]]),"Active","Churned")</f>
        <v>Active</v>
      </c>
      <c r="M621">
        <f ca="1">IF(ISBLANK(Table1[[#This Row],[CancelDate]]),DATEDIF(Table1[[#This Row],[JoinDate]],TODAY(),"M"),DATEDIF(Table1[[#This Row],[JoinDate]],Table1[[#This Row],[CancelDate]],"M"))</f>
        <v>28</v>
      </c>
      <c r="N621" t="str">
        <f>IF(Table1[[#This Row],[EngagementScore]]&lt;=40,"Low",IF(Table1[[#This Row],[EngagementScore]]&lt;=70,"Medium","High"))</f>
        <v>Medium</v>
      </c>
      <c r="O621" t="str">
        <f>IF(Table1[[#This Row],[Age]]&lt;25,"18-24",
IF(Table1[[#This Row],[Age]]&lt;35,"25-34",
IF(Table1[[#This Row],[Age]]&lt;45,"35-44","45+")))</f>
        <v>45+</v>
      </c>
    </row>
    <row r="622" spans="1:15" x14ac:dyDescent="0.25">
      <c r="A622" t="s">
        <v>631</v>
      </c>
      <c r="B622" s="4">
        <v>44884</v>
      </c>
      <c r="D622">
        <v>22</v>
      </c>
      <c r="E622" t="s">
        <v>911</v>
      </c>
      <c r="F622" t="s">
        <v>916</v>
      </c>
      <c r="G622" t="s">
        <v>922</v>
      </c>
      <c r="H622">
        <v>13521.63</v>
      </c>
      <c r="I622">
        <v>13</v>
      </c>
      <c r="J622">
        <v>66</v>
      </c>
      <c r="K622" t="s">
        <v>924</v>
      </c>
      <c r="L622" t="str">
        <f>IF(ISBLANK(Table1[[#This Row],[CancelDate]]),"Active","Churned")</f>
        <v>Active</v>
      </c>
      <c r="M622">
        <f ca="1">IF(ISBLANK(Table1[[#This Row],[CancelDate]]),DATEDIF(Table1[[#This Row],[JoinDate]],TODAY(),"M"),DATEDIF(Table1[[#This Row],[JoinDate]],Table1[[#This Row],[CancelDate]],"M"))</f>
        <v>40</v>
      </c>
      <c r="N622" t="str">
        <f>IF(Table1[[#This Row],[EngagementScore]]&lt;=40,"Low",IF(Table1[[#This Row],[EngagementScore]]&lt;=70,"Medium","High"))</f>
        <v>Medium</v>
      </c>
      <c r="O622" t="str">
        <f>IF(Table1[[#This Row],[Age]]&lt;25,"18-24",
IF(Table1[[#This Row],[Age]]&lt;35,"25-34",
IF(Table1[[#This Row],[Age]]&lt;45,"35-44","45+")))</f>
        <v>18-24</v>
      </c>
    </row>
    <row r="623" spans="1:15" x14ac:dyDescent="0.25">
      <c r="A623" t="s">
        <v>632</v>
      </c>
      <c r="B623" s="4">
        <v>44849</v>
      </c>
      <c r="D623">
        <v>53</v>
      </c>
      <c r="E623" t="s">
        <v>912</v>
      </c>
      <c r="F623" t="s">
        <v>918</v>
      </c>
      <c r="G623" t="s">
        <v>921</v>
      </c>
      <c r="H623">
        <v>8491.64</v>
      </c>
      <c r="I623">
        <v>14</v>
      </c>
      <c r="J623">
        <v>45</v>
      </c>
      <c r="K623" t="s">
        <v>925</v>
      </c>
      <c r="L623" t="str">
        <f>IF(ISBLANK(Table1[[#This Row],[CancelDate]]),"Active","Churned")</f>
        <v>Active</v>
      </c>
      <c r="M623">
        <f ca="1">IF(ISBLANK(Table1[[#This Row],[CancelDate]]),DATEDIF(Table1[[#This Row],[JoinDate]],TODAY(),"M"),DATEDIF(Table1[[#This Row],[JoinDate]],Table1[[#This Row],[CancelDate]],"M"))</f>
        <v>41</v>
      </c>
      <c r="N623" t="str">
        <f>IF(Table1[[#This Row],[EngagementScore]]&lt;=40,"Low",IF(Table1[[#This Row],[EngagementScore]]&lt;=70,"Medium","High"))</f>
        <v>Medium</v>
      </c>
      <c r="O623" t="str">
        <f>IF(Table1[[#This Row],[Age]]&lt;25,"18-24",
IF(Table1[[#This Row],[Age]]&lt;35,"25-34",
IF(Table1[[#This Row],[Age]]&lt;45,"35-44","45+")))</f>
        <v>45+</v>
      </c>
    </row>
    <row r="624" spans="1:15" x14ac:dyDescent="0.25">
      <c r="A624" t="s">
        <v>633</v>
      </c>
      <c r="B624" s="4">
        <v>44639</v>
      </c>
      <c r="D624">
        <v>45</v>
      </c>
      <c r="E624" t="s">
        <v>911</v>
      </c>
      <c r="F624" t="s">
        <v>918</v>
      </c>
      <c r="G624" t="s">
        <v>921</v>
      </c>
      <c r="H624">
        <v>12621.17</v>
      </c>
      <c r="I624">
        <v>13</v>
      </c>
      <c r="J624">
        <v>47</v>
      </c>
      <c r="K624" t="s">
        <v>925</v>
      </c>
      <c r="L624" t="str">
        <f>IF(ISBLANK(Table1[[#This Row],[CancelDate]]),"Active","Churned")</f>
        <v>Active</v>
      </c>
      <c r="M624">
        <f ca="1">IF(ISBLANK(Table1[[#This Row],[CancelDate]]),DATEDIF(Table1[[#This Row],[JoinDate]],TODAY(),"M"),DATEDIF(Table1[[#This Row],[JoinDate]],Table1[[#This Row],[CancelDate]],"M"))</f>
        <v>48</v>
      </c>
      <c r="N624" t="str">
        <f>IF(Table1[[#This Row],[EngagementScore]]&lt;=40,"Low",IF(Table1[[#This Row],[EngagementScore]]&lt;=70,"Medium","High"))</f>
        <v>Medium</v>
      </c>
      <c r="O624" t="str">
        <f>IF(Table1[[#This Row],[Age]]&lt;25,"18-24",
IF(Table1[[#This Row],[Age]]&lt;35,"25-34",
IF(Table1[[#This Row],[Age]]&lt;45,"35-44","45+")))</f>
        <v>45+</v>
      </c>
    </row>
    <row r="625" spans="1:15" x14ac:dyDescent="0.25">
      <c r="A625" t="s">
        <v>634</v>
      </c>
      <c r="B625" s="4">
        <v>45038</v>
      </c>
      <c r="D625">
        <v>54</v>
      </c>
      <c r="E625" t="s">
        <v>911</v>
      </c>
      <c r="F625" t="s">
        <v>914</v>
      </c>
      <c r="G625" t="s">
        <v>920</v>
      </c>
      <c r="H625">
        <v>6297.47</v>
      </c>
      <c r="I625">
        <v>11</v>
      </c>
      <c r="J625">
        <v>59</v>
      </c>
      <c r="K625" t="s">
        <v>924</v>
      </c>
      <c r="L625" t="str">
        <f>IF(ISBLANK(Table1[[#This Row],[CancelDate]]),"Active","Churned")</f>
        <v>Active</v>
      </c>
      <c r="M625">
        <f ca="1">IF(ISBLANK(Table1[[#This Row],[CancelDate]]),DATEDIF(Table1[[#This Row],[JoinDate]],TODAY(),"M"),DATEDIF(Table1[[#This Row],[JoinDate]],Table1[[#This Row],[CancelDate]],"M"))</f>
        <v>35</v>
      </c>
      <c r="N625" t="str">
        <f>IF(Table1[[#This Row],[EngagementScore]]&lt;=40,"Low",IF(Table1[[#This Row],[EngagementScore]]&lt;=70,"Medium","High"))</f>
        <v>Medium</v>
      </c>
      <c r="O625" t="str">
        <f>IF(Table1[[#This Row],[Age]]&lt;25,"18-24",
IF(Table1[[#This Row],[Age]]&lt;35,"25-34",
IF(Table1[[#This Row],[Age]]&lt;45,"35-44","45+")))</f>
        <v>45+</v>
      </c>
    </row>
    <row r="626" spans="1:15" x14ac:dyDescent="0.25">
      <c r="A626" t="s">
        <v>635</v>
      </c>
      <c r="B626" s="4">
        <v>44731</v>
      </c>
      <c r="D626">
        <v>57</v>
      </c>
      <c r="E626" t="s">
        <v>911</v>
      </c>
      <c r="F626" t="s">
        <v>916</v>
      </c>
      <c r="G626" t="s">
        <v>922</v>
      </c>
      <c r="H626">
        <v>22114.41</v>
      </c>
      <c r="I626">
        <v>21</v>
      </c>
      <c r="J626">
        <v>77</v>
      </c>
      <c r="K626" t="s">
        <v>924</v>
      </c>
      <c r="L626" t="str">
        <f>IF(ISBLANK(Table1[[#This Row],[CancelDate]]),"Active","Churned")</f>
        <v>Active</v>
      </c>
      <c r="M626">
        <f ca="1">IF(ISBLANK(Table1[[#This Row],[CancelDate]]),DATEDIF(Table1[[#This Row],[JoinDate]],TODAY(),"M"),DATEDIF(Table1[[#This Row],[JoinDate]],Table1[[#This Row],[CancelDate]],"M"))</f>
        <v>45</v>
      </c>
      <c r="N626" t="str">
        <f>IF(Table1[[#This Row],[EngagementScore]]&lt;=40,"Low",IF(Table1[[#This Row],[EngagementScore]]&lt;=70,"Medium","High"))</f>
        <v>High</v>
      </c>
      <c r="O626" t="str">
        <f>IF(Table1[[#This Row],[Age]]&lt;25,"18-24",
IF(Table1[[#This Row],[Age]]&lt;35,"25-34",
IF(Table1[[#This Row],[Age]]&lt;45,"35-44","45+")))</f>
        <v>45+</v>
      </c>
    </row>
    <row r="627" spans="1:15" x14ac:dyDescent="0.25">
      <c r="A627" t="s">
        <v>636</v>
      </c>
      <c r="B627" s="4">
        <v>44716</v>
      </c>
      <c r="D627">
        <v>44</v>
      </c>
      <c r="E627" t="s">
        <v>911</v>
      </c>
      <c r="F627" t="s">
        <v>918</v>
      </c>
      <c r="G627" t="s">
        <v>921</v>
      </c>
      <c r="H627">
        <v>22404.03</v>
      </c>
      <c r="I627">
        <v>28</v>
      </c>
      <c r="J627">
        <v>91</v>
      </c>
      <c r="K627" t="s">
        <v>913</v>
      </c>
      <c r="L627" t="str">
        <f>IF(ISBLANK(Table1[[#This Row],[CancelDate]]),"Active","Churned")</f>
        <v>Active</v>
      </c>
      <c r="M627">
        <f ca="1">IF(ISBLANK(Table1[[#This Row],[CancelDate]]),DATEDIF(Table1[[#This Row],[JoinDate]],TODAY(),"M"),DATEDIF(Table1[[#This Row],[JoinDate]],Table1[[#This Row],[CancelDate]],"M"))</f>
        <v>45</v>
      </c>
      <c r="N627" t="str">
        <f>IF(Table1[[#This Row],[EngagementScore]]&lt;=40,"Low",IF(Table1[[#This Row],[EngagementScore]]&lt;=70,"Medium","High"))</f>
        <v>High</v>
      </c>
      <c r="O627" t="str">
        <f>IF(Table1[[#This Row],[Age]]&lt;25,"18-24",
IF(Table1[[#This Row],[Age]]&lt;35,"25-34",
IF(Table1[[#This Row],[Age]]&lt;45,"35-44","45+")))</f>
        <v>35-44</v>
      </c>
    </row>
    <row r="628" spans="1:15" x14ac:dyDescent="0.25">
      <c r="A628" t="s">
        <v>637</v>
      </c>
      <c r="B628" s="4">
        <v>45177</v>
      </c>
      <c r="C628" s="1">
        <v>45370</v>
      </c>
      <c r="D628">
        <v>27</v>
      </c>
      <c r="E628" t="s">
        <v>911</v>
      </c>
      <c r="F628" t="s">
        <v>914</v>
      </c>
      <c r="G628" t="s">
        <v>921</v>
      </c>
      <c r="H628">
        <v>5392.75</v>
      </c>
      <c r="I628">
        <v>7</v>
      </c>
      <c r="J628">
        <v>25</v>
      </c>
      <c r="K628" t="s">
        <v>925</v>
      </c>
      <c r="L628" t="str">
        <f>IF(ISBLANK(Table1[[#This Row],[CancelDate]]),"Active","Churned")</f>
        <v>Churned</v>
      </c>
      <c r="M628">
        <f ca="1">IF(ISBLANK(Table1[[#This Row],[CancelDate]]),DATEDIF(Table1[[#This Row],[JoinDate]],TODAY(),"M"),DATEDIF(Table1[[#This Row],[JoinDate]],Table1[[#This Row],[CancelDate]],"M"))</f>
        <v>6</v>
      </c>
      <c r="N628" t="str">
        <f>IF(Table1[[#This Row],[EngagementScore]]&lt;=40,"Low",IF(Table1[[#This Row],[EngagementScore]]&lt;=70,"Medium","High"))</f>
        <v>Low</v>
      </c>
      <c r="O628" t="str">
        <f>IF(Table1[[#This Row],[Age]]&lt;25,"18-24",
IF(Table1[[#This Row],[Age]]&lt;35,"25-34",
IF(Table1[[#This Row],[Age]]&lt;45,"35-44","45+")))</f>
        <v>25-34</v>
      </c>
    </row>
    <row r="629" spans="1:15" x14ac:dyDescent="0.25">
      <c r="A629" t="s">
        <v>638</v>
      </c>
      <c r="B629" s="4">
        <v>45348</v>
      </c>
      <c r="C629" s="1">
        <v>45527</v>
      </c>
      <c r="D629">
        <v>44</v>
      </c>
      <c r="E629" t="s">
        <v>911</v>
      </c>
      <c r="F629" t="s">
        <v>915</v>
      </c>
      <c r="G629" t="s">
        <v>921</v>
      </c>
      <c r="H629">
        <v>4688.0200000000004</v>
      </c>
      <c r="I629">
        <v>6</v>
      </c>
      <c r="J629">
        <v>33</v>
      </c>
      <c r="K629" t="s">
        <v>923</v>
      </c>
      <c r="L629" t="str">
        <f>IF(ISBLANK(Table1[[#This Row],[CancelDate]]),"Active","Churned")</f>
        <v>Churned</v>
      </c>
      <c r="M629">
        <f ca="1">IF(ISBLANK(Table1[[#This Row],[CancelDate]]),DATEDIF(Table1[[#This Row],[JoinDate]],TODAY(),"M"),DATEDIF(Table1[[#This Row],[JoinDate]],Table1[[#This Row],[CancelDate]],"M"))</f>
        <v>5</v>
      </c>
      <c r="N629" t="str">
        <f>IF(Table1[[#This Row],[EngagementScore]]&lt;=40,"Low",IF(Table1[[#This Row],[EngagementScore]]&lt;=70,"Medium","High"))</f>
        <v>Low</v>
      </c>
      <c r="O629" t="str">
        <f>IF(Table1[[#This Row],[Age]]&lt;25,"18-24",
IF(Table1[[#This Row],[Age]]&lt;35,"25-34",
IF(Table1[[#This Row],[Age]]&lt;45,"35-44","45+")))</f>
        <v>35-44</v>
      </c>
    </row>
    <row r="630" spans="1:15" x14ac:dyDescent="0.25">
      <c r="A630" t="s">
        <v>639</v>
      </c>
      <c r="B630" s="4">
        <v>44902</v>
      </c>
      <c r="C630" s="1">
        <v>45183</v>
      </c>
      <c r="D630">
        <v>47</v>
      </c>
      <c r="E630" t="s">
        <v>912</v>
      </c>
      <c r="F630" t="s">
        <v>918</v>
      </c>
      <c r="G630" t="s">
        <v>922</v>
      </c>
      <c r="H630">
        <v>5066.0200000000004</v>
      </c>
      <c r="I630">
        <v>1</v>
      </c>
      <c r="J630">
        <v>22</v>
      </c>
      <c r="K630" t="s">
        <v>925</v>
      </c>
      <c r="L630" t="str">
        <f>IF(ISBLANK(Table1[[#This Row],[CancelDate]]),"Active","Churned")</f>
        <v>Churned</v>
      </c>
      <c r="M630">
        <f ca="1">IF(ISBLANK(Table1[[#This Row],[CancelDate]]),DATEDIF(Table1[[#This Row],[JoinDate]],TODAY(),"M"),DATEDIF(Table1[[#This Row],[JoinDate]],Table1[[#This Row],[CancelDate]],"M"))</f>
        <v>9</v>
      </c>
      <c r="N630" t="str">
        <f>IF(Table1[[#This Row],[EngagementScore]]&lt;=40,"Low",IF(Table1[[#This Row],[EngagementScore]]&lt;=70,"Medium","High"))</f>
        <v>Low</v>
      </c>
      <c r="O630" t="str">
        <f>IF(Table1[[#This Row],[Age]]&lt;25,"18-24",
IF(Table1[[#This Row],[Age]]&lt;35,"25-34",
IF(Table1[[#This Row],[Age]]&lt;45,"35-44","45+")))</f>
        <v>45+</v>
      </c>
    </row>
    <row r="631" spans="1:15" x14ac:dyDescent="0.25">
      <c r="A631" t="s">
        <v>640</v>
      </c>
      <c r="B631" s="4">
        <v>45097</v>
      </c>
      <c r="C631" s="1">
        <v>45456</v>
      </c>
      <c r="D631">
        <v>37</v>
      </c>
      <c r="E631" t="s">
        <v>911</v>
      </c>
      <c r="F631" t="s">
        <v>914</v>
      </c>
      <c r="G631" t="s">
        <v>920</v>
      </c>
      <c r="H631">
        <v>5551.92</v>
      </c>
      <c r="I631">
        <v>2</v>
      </c>
      <c r="J631">
        <v>39</v>
      </c>
      <c r="K631" t="s">
        <v>923</v>
      </c>
      <c r="L631" t="str">
        <f>IF(ISBLANK(Table1[[#This Row],[CancelDate]]),"Active","Churned")</f>
        <v>Churned</v>
      </c>
      <c r="M631">
        <f ca="1">IF(ISBLANK(Table1[[#This Row],[CancelDate]]),DATEDIF(Table1[[#This Row],[JoinDate]],TODAY(),"M"),DATEDIF(Table1[[#This Row],[JoinDate]],Table1[[#This Row],[CancelDate]],"M"))</f>
        <v>11</v>
      </c>
      <c r="N631" t="str">
        <f>IF(Table1[[#This Row],[EngagementScore]]&lt;=40,"Low",IF(Table1[[#This Row],[EngagementScore]]&lt;=70,"Medium","High"))</f>
        <v>Low</v>
      </c>
      <c r="O631" t="str">
        <f>IF(Table1[[#This Row],[Age]]&lt;25,"18-24",
IF(Table1[[#This Row],[Age]]&lt;35,"25-34",
IF(Table1[[#This Row],[Age]]&lt;45,"35-44","45+")))</f>
        <v>35-44</v>
      </c>
    </row>
    <row r="632" spans="1:15" x14ac:dyDescent="0.25">
      <c r="A632" t="s">
        <v>641</v>
      </c>
      <c r="B632" s="4">
        <v>45257</v>
      </c>
      <c r="C632" s="1">
        <v>45461</v>
      </c>
      <c r="D632">
        <v>22</v>
      </c>
      <c r="E632" t="s">
        <v>912</v>
      </c>
      <c r="F632" t="s">
        <v>917</v>
      </c>
      <c r="G632" t="s">
        <v>921</v>
      </c>
      <c r="H632">
        <v>3670.24</v>
      </c>
      <c r="I632">
        <v>4</v>
      </c>
      <c r="J632">
        <v>32</v>
      </c>
      <c r="K632" t="s">
        <v>924</v>
      </c>
      <c r="L632" t="str">
        <f>IF(ISBLANK(Table1[[#This Row],[CancelDate]]),"Active","Churned")</f>
        <v>Churned</v>
      </c>
      <c r="M632">
        <f ca="1">IF(ISBLANK(Table1[[#This Row],[CancelDate]]),DATEDIF(Table1[[#This Row],[JoinDate]],TODAY(),"M"),DATEDIF(Table1[[#This Row],[JoinDate]],Table1[[#This Row],[CancelDate]],"M"))</f>
        <v>6</v>
      </c>
      <c r="N632" t="str">
        <f>IF(Table1[[#This Row],[EngagementScore]]&lt;=40,"Low",IF(Table1[[#This Row],[EngagementScore]]&lt;=70,"Medium","High"))</f>
        <v>Low</v>
      </c>
      <c r="O632" t="str">
        <f>IF(Table1[[#This Row],[Age]]&lt;25,"18-24",
IF(Table1[[#This Row],[Age]]&lt;35,"25-34",
IF(Table1[[#This Row],[Age]]&lt;45,"35-44","45+")))</f>
        <v>18-24</v>
      </c>
    </row>
    <row r="633" spans="1:15" x14ac:dyDescent="0.25">
      <c r="A633" t="s">
        <v>642</v>
      </c>
      <c r="B633" s="4">
        <v>44910</v>
      </c>
      <c r="C633" s="1">
        <v>44976</v>
      </c>
      <c r="D633">
        <v>55</v>
      </c>
      <c r="E633" t="s">
        <v>912</v>
      </c>
      <c r="F633" t="s">
        <v>915</v>
      </c>
      <c r="G633" t="s">
        <v>921</v>
      </c>
      <c r="H633">
        <v>12794.77</v>
      </c>
      <c r="I633">
        <v>13</v>
      </c>
      <c r="J633">
        <v>60</v>
      </c>
      <c r="K633" t="s">
        <v>925</v>
      </c>
      <c r="L633" t="str">
        <f>IF(ISBLANK(Table1[[#This Row],[CancelDate]]),"Active","Churned")</f>
        <v>Churned</v>
      </c>
      <c r="M633">
        <f ca="1">IF(ISBLANK(Table1[[#This Row],[CancelDate]]),DATEDIF(Table1[[#This Row],[JoinDate]],TODAY(),"M"),DATEDIF(Table1[[#This Row],[JoinDate]],Table1[[#This Row],[CancelDate]],"M"))</f>
        <v>2</v>
      </c>
      <c r="N633" t="str">
        <f>IF(Table1[[#This Row],[EngagementScore]]&lt;=40,"Low",IF(Table1[[#This Row],[EngagementScore]]&lt;=70,"Medium","High"))</f>
        <v>Medium</v>
      </c>
      <c r="O633" t="str">
        <f>IF(Table1[[#This Row],[Age]]&lt;25,"18-24",
IF(Table1[[#This Row],[Age]]&lt;35,"25-34",
IF(Table1[[#This Row],[Age]]&lt;45,"35-44","45+")))</f>
        <v>45+</v>
      </c>
    </row>
    <row r="634" spans="1:15" x14ac:dyDescent="0.25">
      <c r="A634" t="s">
        <v>643</v>
      </c>
      <c r="B634" s="4">
        <v>45453</v>
      </c>
      <c r="D634">
        <v>46</v>
      </c>
      <c r="E634" t="s">
        <v>912</v>
      </c>
      <c r="F634" t="s">
        <v>914</v>
      </c>
      <c r="G634" t="s">
        <v>921</v>
      </c>
      <c r="H634">
        <v>13006.42</v>
      </c>
      <c r="I634">
        <v>6</v>
      </c>
      <c r="J634">
        <v>59</v>
      </c>
      <c r="K634" t="s">
        <v>923</v>
      </c>
      <c r="L634" t="str">
        <f>IF(ISBLANK(Table1[[#This Row],[CancelDate]]),"Active","Churned")</f>
        <v>Active</v>
      </c>
      <c r="M634">
        <f ca="1">IF(ISBLANK(Table1[[#This Row],[CancelDate]]),DATEDIF(Table1[[#This Row],[JoinDate]],TODAY(),"M"),DATEDIF(Table1[[#This Row],[JoinDate]],Table1[[#This Row],[CancelDate]],"M"))</f>
        <v>21</v>
      </c>
      <c r="N634" t="str">
        <f>IF(Table1[[#This Row],[EngagementScore]]&lt;=40,"Low",IF(Table1[[#This Row],[EngagementScore]]&lt;=70,"Medium","High"))</f>
        <v>Medium</v>
      </c>
      <c r="O634" t="str">
        <f>IF(Table1[[#This Row],[Age]]&lt;25,"18-24",
IF(Table1[[#This Row],[Age]]&lt;35,"25-34",
IF(Table1[[#This Row],[Age]]&lt;45,"35-44","45+")))</f>
        <v>45+</v>
      </c>
    </row>
    <row r="635" spans="1:15" x14ac:dyDescent="0.25">
      <c r="A635" t="s">
        <v>644</v>
      </c>
      <c r="B635" s="4">
        <v>45067</v>
      </c>
      <c r="C635" s="1">
        <v>45322</v>
      </c>
      <c r="D635">
        <v>59</v>
      </c>
      <c r="E635" t="s">
        <v>912</v>
      </c>
      <c r="F635" t="s">
        <v>917</v>
      </c>
      <c r="G635" t="s">
        <v>921</v>
      </c>
      <c r="H635">
        <v>4966.49</v>
      </c>
      <c r="I635">
        <v>6</v>
      </c>
      <c r="J635">
        <v>18</v>
      </c>
      <c r="K635" t="s">
        <v>923</v>
      </c>
      <c r="L635" t="str">
        <f>IF(ISBLANK(Table1[[#This Row],[CancelDate]]),"Active","Churned")</f>
        <v>Churned</v>
      </c>
      <c r="M635">
        <f ca="1">IF(ISBLANK(Table1[[#This Row],[CancelDate]]),DATEDIF(Table1[[#This Row],[JoinDate]],TODAY(),"M"),DATEDIF(Table1[[#This Row],[JoinDate]],Table1[[#This Row],[CancelDate]],"M"))</f>
        <v>8</v>
      </c>
      <c r="N635" t="str">
        <f>IF(Table1[[#This Row],[EngagementScore]]&lt;=40,"Low",IF(Table1[[#This Row],[EngagementScore]]&lt;=70,"Medium","High"))</f>
        <v>Low</v>
      </c>
      <c r="O635" t="str">
        <f>IF(Table1[[#This Row],[Age]]&lt;25,"18-24",
IF(Table1[[#This Row],[Age]]&lt;35,"25-34",
IF(Table1[[#This Row],[Age]]&lt;45,"35-44","45+")))</f>
        <v>45+</v>
      </c>
    </row>
    <row r="636" spans="1:15" x14ac:dyDescent="0.25">
      <c r="A636" t="s">
        <v>645</v>
      </c>
      <c r="B636" s="4">
        <v>45281</v>
      </c>
      <c r="D636">
        <v>33</v>
      </c>
      <c r="E636" t="s">
        <v>912</v>
      </c>
      <c r="F636" t="s">
        <v>919</v>
      </c>
      <c r="G636" t="s">
        <v>922</v>
      </c>
      <c r="H636">
        <v>28396.57</v>
      </c>
      <c r="I636">
        <v>19</v>
      </c>
      <c r="J636">
        <v>75</v>
      </c>
      <c r="K636" t="s">
        <v>925</v>
      </c>
      <c r="L636" t="str">
        <f>IF(ISBLANK(Table1[[#This Row],[CancelDate]]),"Active","Churned")</f>
        <v>Active</v>
      </c>
      <c r="M636">
        <f ca="1">IF(ISBLANK(Table1[[#This Row],[CancelDate]]),DATEDIF(Table1[[#This Row],[JoinDate]],TODAY(),"M"),DATEDIF(Table1[[#This Row],[JoinDate]],Table1[[#This Row],[CancelDate]],"M"))</f>
        <v>27</v>
      </c>
      <c r="N636" t="str">
        <f>IF(Table1[[#This Row],[EngagementScore]]&lt;=40,"Low",IF(Table1[[#This Row],[EngagementScore]]&lt;=70,"Medium","High"))</f>
        <v>High</v>
      </c>
      <c r="O636" t="str">
        <f>IF(Table1[[#This Row],[Age]]&lt;25,"18-24",
IF(Table1[[#This Row],[Age]]&lt;35,"25-34",
IF(Table1[[#This Row],[Age]]&lt;45,"35-44","45+")))</f>
        <v>25-34</v>
      </c>
    </row>
    <row r="637" spans="1:15" x14ac:dyDescent="0.25">
      <c r="A637" t="s">
        <v>646</v>
      </c>
      <c r="B637" s="4">
        <v>45375</v>
      </c>
      <c r="D637">
        <v>46</v>
      </c>
      <c r="E637" t="s">
        <v>912</v>
      </c>
      <c r="F637" t="s">
        <v>916</v>
      </c>
      <c r="G637" t="s">
        <v>921</v>
      </c>
      <c r="H637">
        <v>6093.95</v>
      </c>
      <c r="I637">
        <v>8</v>
      </c>
      <c r="J637">
        <v>55</v>
      </c>
      <c r="K637" t="s">
        <v>925</v>
      </c>
      <c r="L637" t="str">
        <f>IF(ISBLANK(Table1[[#This Row],[CancelDate]]),"Active","Churned")</f>
        <v>Active</v>
      </c>
      <c r="M637">
        <f ca="1">IF(ISBLANK(Table1[[#This Row],[CancelDate]]),DATEDIF(Table1[[#This Row],[JoinDate]],TODAY(),"M"),DATEDIF(Table1[[#This Row],[JoinDate]],Table1[[#This Row],[CancelDate]],"M"))</f>
        <v>24</v>
      </c>
      <c r="N637" t="str">
        <f>IF(Table1[[#This Row],[EngagementScore]]&lt;=40,"Low",IF(Table1[[#This Row],[EngagementScore]]&lt;=70,"Medium","High"))</f>
        <v>Medium</v>
      </c>
      <c r="O637" t="str">
        <f>IF(Table1[[#This Row],[Age]]&lt;25,"18-24",
IF(Table1[[#This Row],[Age]]&lt;35,"25-34",
IF(Table1[[#This Row],[Age]]&lt;45,"35-44","45+")))</f>
        <v>45+</v>
      </c>
    </row>
    <row r="638" spans="1:15" x14ac:dyDescent="0.25">
      <c r="A638" t="s">
        <v>647</v>
      </c>
      <c r="B638" s="4">
        <v>45427</v>
      </c>
      <c r="C638" s="1">
        <v>45495</v>
      </c>
      <c r="D638">
        <v>33</v>
      </c>
      <c r="E638" t="s">
        <v>912</v>
      </c>
      <c r="F638" t="s">
        <v>919</v>
      </c>
      <c r="G638" t="s">
        <v>922</v>
      </c>
      <c r="H638">
        <v>5338.19</v>
      </c>
      <c r="I638">
        <v>7</v>
      </c>
      <c r="J638">
        <v>67</v>
      </c>
      <c r="K638" t="s">
        <v>925</v>
      </c>
      <c r="L638" t="str">
        <f>IF(ISBLANK(Table1[[#This Row],[CancelDate]]),"Active","Churned")</f>
        <v>Churned</v>
      </c>
      <c r="M638">
        <f ca="1">IF(ISBLANK(Table1[[#This Row],[CancelDate]]),DATEDIF(Table1[[#This Row],[JoinDate]],TODAY(),"M"),DATEDIF(Table1[[#This Row],[JoinDate]],Table1[[#This Row],[CancelDate]],"M"))</f>
        <v>2</v>
      </c>
      <c r="N638" t="str">
        <f>IF(Table1[[#This Row],[EngagementScore]]&lt;=40,"Low",IF(Table1[[#This Row],[EngagementScore]]&lt;=70,"Medium","High"))</f>
        <v>Medium</v>
      </c>
      <c r="O638" t="str">
        <f>IF(Table1[[#This Row],[Age]]&lt;25,"18-24",
IF(Table1[[#This Row],[Age]]&lt;35,"25-34",
IF(Table1[[#This Row],[Age]]&lt;45,"35-44","45+")))</f>
        <v>25-34</v>
      </c>
    </row>
    <row r="639" spans="1:15" x14ac:dyDescent="0.25">
      <c r="A639" t="s">
        <v>648</v>
      </c>
      <c r="B639" s="4">
        <v>45331</v>
      </c>
      <c r="D639">
        <v>42</v>
      </c>
      <c r="E639" t="s">
        <v>911</v>
      </c>
      <c r="F639" t="s">
        <v>914</v>
      </c>
      <c r="G639" t="s">
        <v>921</v>
      </c>
      <c r="H639">
        <v>26241.15</v>
      </c>
      <c r="I639">
        <v>26</v>
      </c>
      <c r="J639">
        <v>71</v>
      </c>
      <c r="K639" t="s">
        <v>924</v>
      </c>
      <c r="L639" t="str">
        <f>IF(ISBLANK(Table1[[#This Row],[CancelDate]]),"Active","Churned")</f>
        <v>Active</v>
      </c>
      <c r="M639">
        <f ca="1">IF(ISBLANK(Table1[[#This Row],[CancelDate]]),DATEDIF(Table1[[#This Row],[JoinDate]],TODAY(),"M"),DATEDIF(Table1[[#This Row],[JoinDate]],Table1[[#This Row],[CancelDate]],"M"))</f>
        <v>25</v>
      </c>
      <c r="N639" t="str">
        <f>IF(Table1[[#This Row],[EngagementScore]]&lt;=40,"Low",IF(Table1[[#This Row],[EngagementScore]]&lt;=70,"Medium","High"))</f>
        <v>High</v>
      </c>
      <c r="O639" t="str">
        <f>IF(Table1[[#This Row],[Age]]&lt;25,"18-24",
IF(Table1[[#This Row],[Age]]&lt;35,"25-34",
IF(Table1[[#This Row],[Age]]&lt;45,"35-44","45+")))</f>
        <v>35-44</v>
      </c>
    </row>
    <row r="640" spans="1:15" x14ac:dyDescent="0.25">
      <c r="A640" t="s">
        <v>649</v>
      </c>
      <c r="B640" s="4">
        <v>45354</v>
      </c>
      <c r="D640">
        <v>47</v>
      </c>
      <c r="E640" t="s">
        <v>911</v>
      </c>
      <c r="F640" t="s">
        <v>919</v>
      </c>
      <c r="G640" t="s">
        <v>921</v>
      </c>
      <c r="H640">
        <v>14415.71</v>
      </c>
      <c r="I640">
        <v>7</v>
      </c>
      <c r="J640">
        <v>61</v>
      </c>
      <c r="K640" t="s">
        <v>923</v>
      </c>
      <c r="L640" t="str">
        <f>IF(ISBLANK(Table1[[#This Row],[CancelDate]]),"Active","Churned")</f>
        <v>Active</v>
      </c>
      <c r="M640">
        <f ca="1">IF(ISBLANK(Table1[[#This Row],[CancelDate]]),DATEDIF(Table1[[#This Row],[JoinDate]],TODAY(),"M"),DATEDIF(Table1[[#This Row],[JoinDate]],Table1[[#This Row],[CancelDate]],"M"))</f>
        <v>24</v>
      </c>
      <c r="N640" t="str">
        <f>IF(Table1[[#This Row],[EngagementScore]]&lt;=40,"Low",IF(Table1[[#This Row],[EngagementScore]]&lt;=70,"Medium","High"))</f>
        <v>Medium</v>
      </c>
      <c r="O640" t="str">
        <f>IF(Table1[[#This Row],[Age]]&lt;25,"18-24",
IF(Table1[[#This Row],[Age]]&lt;35,"25-34",
IF(Table1[[#This Row],[Age]]&lt;45,"35-44","45+")))</f>
        <v>45+</v>
      </c>
    </row>
    <row r="641" spans="1:15" x14ac:dyDescent="0.25">
      <c r="A641" t="s">
        <v>650</v>
      </c>
      <c r="B641" s="4">
        <v>45177</v>
      </c>
      <c r="C641" s="1">
        <v>45276</v>
      </c>
      <c r="D641">
        <v>19</v>
      </c>
      <c r="E641" t="s">
        <v>912</v>
      </c>
      <c r="F641" t="s">
        <v>916</v>
      </c>
      <c r="G641" t="s">
        <v>922</v>
      </c>
      <c r="H641">
        <v>3765.31</v>
      </c>
      <c r="I641">
        <v>7</v>
      </c>
      <c r="J641">
        <v>13</v>
      </c>
      <c r="K641" t="s">
        <v>923</v>
      </c>
      <c r="L641" t="str">
        <f>IF(ISBLANK(Table1[[#This Row],[CancelDate]]),"Active","Churned")</f>
        <v>Churned</v>
      </c>
      <c r="M641">
        <f ca="1">IF(ISBLANK(Table1[[#This Row],[CancelDate]]),DATEDIF(Table1[[#This Row],[JoinDate]],TODAY(),"M"),DATEDIF(Table1[[#This Row],[JoinDate]],Table1[[#This Row],[CancelDate]],"M"))</f>
        <v>3</v>
      </c>
      <c r="N641" t="str">
        <f>IF(Table1[[#This Row],[EngagementScore]]&lt;=40,"Low",IF(Table1[[#This Row],[EngagementScore]]&lt;=70,"Medium","High"))</f>
        <v>Low</v>
      </c>
      <c r="O641" t="str">
        <f>IF(Table1[[#This Row],[Age]]&lt;25,"18-24",
IF(Table1[[#This Row],[Age]]&lt;35,"25-34",
IF(Table1[[#This Row],[Age]]&lt;45,"35-44","45+")))</f>
        <v>18-24</v>
      </c>
    </row>
    <row r="642" spans="1:15" x14ac:dyDescent="0.25">
      <c r="A642" t="s">
        <v>651</v>
      </c>
      <c r="B642" s="4">
        <v>45388</v>
      </c>
      <c r="D642">
        <v>37</v>
      </c>
      <c r="E642" t="s">
        <v>912</v>
      </c>
      <c r="F642" t="s">
        <v>914</v>
      </c>
      <c r="G642" t="s">
        <v>922</v>
      </c>
      <c r="H642">
        <v>25514.05</v>
      </c>
      <c r="I642">
        <v>21</v>
      </c>
      <c r="J642">
        <v>91</v>
      </c>
      <c r="K642" t="s">
        <v>925</v>
      </c>
      <c r="L642" t="str">
        <f>IF(ISBLANK(Table1[[#This Row],[CancelDate]]),"Active","Churned")</f>
        <v>Active</v>
      </c>
      <c r="M642">
        <f ca="1">IF(ISBLANK(Table1[[#This Row],[CancelDate]]),DATEDIF(Table1[[#This Row],[JoinDate]],TODAY(),"M"),DATEDIF(Table1[[#This Row],[JoinDate]],Table1[[#This Row],[CancelDate]],"M"))</f>
        <v>23</v>
      </c>
      <c r="N642" t="str">
        <f>IF(Table1[[#This Row],[EngagementScore]]&lt;=40,"Low",IF(Table1[[#This Row],[EngagementScore]]&lt;=70,"Medium","High"))</f>
        <v>High</v>
      </c>
      <c r="O642" t="str">
        <f>IF(Table1[[#This Row],[Age]]&lt;25,"18-24",
IF(Table1[[#This Row],[Age]]&lt;35,"25-34",
IF(Table1[[#This Row],[Age]]&lt;45,"35-44","45+")))</f>
        <v>35-44</v>
      </c>
    </row>
    <row r="643" spans="1:15" x14ac:dyDescent="0.25">
      <c r="A643" t="s">
        <v>652</v>
      </c>
      <c r="B643" s="4">
        <v>45366</v>
      </c>
      <c r="C643" s="1">
        <v>45469</v>
      </c>
      <c r="D643">
        <v>59</v>
      </c>
      <c r="E643" t="s">
        <v>911</v>
      </c>
      <c r="F643" t="s">
        <v>916</v>
      </c>
      <c r="G643" t="s">
        <v>921</v>
      </c>
      <c r="H643">
        <v>6698.52</v>
      </c>
      <c r="I643">
        <v>8</v>
      </c>
      <c r="J643">
        <v>62</v>
      </c>
      <c r="K643" t="s">
        <v>924</v>
      </c>
      <c r="L643" t="str">
        <f>IF(ISBLANK(Table1[[#This Row],[CancelDate]]),"Active","Churned")</f>
        <v>Churned</v>
      </c>
      <c r="M643">
        <f ca="1">IF(ISBLANK(Table1[[#This Row],[CancelDate]]),DATEDIF(Table1[[#This Row],[JoinDate]],TODAY(),"M"),DATEDIF(Table1[[#This Row],[JoinDate]],Table1[[#This Row],[CancelDate]],"M"))</f>
        <v>3</v>
      </c>
      <c r="N643" t="str">
        <f>IF(Table1[[#This Row],[EngagementScore]]&lt;=40,"Low",IF(Table1[[#This Row],[EngagementScore]]&lt;=70,"Medium","High"))</f>
        <v>Medium</v>
      </c>
      <c r="O643" t="str">
        <f>IF(Table1[[#This Row],[Age]]&lt;25,"18-24",
IF(Table1[[#This Row],[Age]]&lt;35,"25-34",
IF(Table1[[#This Row],[Age]]&lt;45,"35-44","45+")))</f>
        <v>45+</v>
      </c>
    </row>
    <row r="644" spans="1:15" x14ac:dyDescent="0.25">
      <c r="A644" t="s">
        <v>653</v>
      </c>
      <c r="B644" s="4">
        <v>45116</v>
      </c>
      <c r="C644" s="1">
        <v>45196</v>
      </c>
      <c r="D644">
        <v>50</v>
      </c>
      <c r="E644" t="s">
        <v>911</v>
      </c>
      <c r="F644" t="s">
        <v>916</v>
      </c>
      <c r="G644" t="s">
        <v>921</v>
      </c>
      <c r="H644">
        <v>9444.92</v>
      </c>
      <c r="I644">
        <v>13</v>
      </c>
      <c r="J644">
        <v>67</v>
      </c>
      <c r="K644" t="s">
        <v>925</v>
      </c>
      <c r="L644" t="str">
        <f>IF(ISBLANK(Table1[[#This Row],[CancelDate]]),"Active","Churned")</f>
        <v>Churned</v>
      </c>
      <c r="M644">
        <f ca="1">IF(ISBLANK(Table1[[#This Row],[CancelDate]]),DATEDIF(Table1[[#This Row],[JoinDate]],TODAY(),"M"),DATEDIF(Table1[[#This Row],[JoinDate]],Table1[[#This Row],[CancelDate]],"M"))</f>
        <v>2</v>
      </c>
      <c r="N644" t="str">
        <f>IF(Table1[[#This Row],[EngagementScore]]&lt;=40,"Low",IF(Table1[[#This Row],[EngagementScore]]&lt;=70,"Medium","High"))</f>
        <v>Medium</v>
      </c>
      <c r="O644" t="str">
        <f>IF(Table1[[#This Row],[Age]]&lt;25,"18-24",
IF(Table1[[#This Row],[Age]]&lt;35,"25-34",
IF(Table1[[#This Row],[Age]]&lt;45,"35-44","45+")))</f>
        <v>45+</v>
      </c>
    </row>
    <row r="645" spans="1:15" x14ac:dyDescent="0.25">
      <c r="A645" t="s">
        <v>654</v>
      </c>
      <c r="B645" s="4">
        <v>44609</v>
      </c>
      <c r="D645">
        <v>36</v>
      </c>
      <c r="E645" t="s">
        <v>911</v>
      </c>
      <c r="F645" t="s">
        <v>919</v>
      </c>
      <c r="G645" t="s">
        <v>921</v>
      </c>
      <c r="H645">
        <v>26762.01</v>
      </c>
      <c r="I645">
        <v>15</v>
      </c>
      <c r="J645">
        <v>74</v>
      </c>
      <c r="K645" t="s">
        <v>923</v>
      </c>
      <c r="L645" t="str">
        <f>IF(ISBLANK(Table1[[#This Row],[CancelDate]]),"Active","Churned")</f>
        <v>Active</v>
      </c>
      <c r="M645">
        <f ca="1">IF(ISBLANK(Table1[[#This Row],[CancelDate]]),DATEDIF(Table1[[#This Row],[JoinDate]],TODAY(),"M"),DATEDIF(Table1[[#This Row],[JoinDate]],Table1[[#This Row],[CancelDate]],"M"))</f>
        <v>49</v>
      </c>
      <c r="N645" t="str">
        <f>IF(Table1[[#This Row],[EngagementScore]]&lt;=40,"Low",IF(Table1[[#This Row],[EngagementScore]]&lt;=70,"Medium","High"))</f>
        <v>High</v>
      </c>
      <c r="O645" t="str">
        <f>IF(Table1[[#This Row],[Age]]&lt;25,"18-24",
IF(Table1[[#This Row],[Age]]&lt;35,"25-34",
IF(Table1[[#This Row],[Age]]&lt;45,"35-44","45+")))</f>
        <v>35-44</v>
      </c>
    </row>
    <row r="646" spans="1:15" x14ac:dyDescent="0.25">
      <c r="A646" t="s">
        <v>655</v>
      </c>
      <c r="B646" s="4">
        <v>45416</v>
      </c>
      <c r="D646">
        <v>21</v>
      </c>
      <c r="E646" t="s">
        <v>912</v>
      </c>
      <c r="F646" t="s">
        <v>918</v>
      </c>
      <c r="G646" t="s">
        <v>921</v>
      </c>
      <c r="H646">
        <v>6221.73</v>
      </c>
      <c r="I646">
        <v>5</v>
      </c>
      <c r="J646">
        <v>50</v>
      </c>
      <c r="K646" t="s">
        <v>925</v>
      </c>
      <c r="L646" t="str">
        <f>IF(ISBLANK(Table1[[#This Row],[CancelDate]]),"Active","Churned")</f>
        <v>Active</v>
      </c>
      <c r="M646">
        <f ca="1">IF(ISBLANK(Table1[[#This Row],[CancelDate]]),DATEDIF(Table1[[#This Row],[JoinDate]],TODAY(),"M"),DATEDIF(Table1[[#This Row],[JoinDate]],Table1[[#This Row],[CancelDate]],"M"))</f>
        <v>22</v>
      </c>
      <c r="N646" t="str">
        <f>IF(Table1[[#This Row],[EngagementScore]]&lt;=40,"Low",IF(Table1[[#This Row],[EngagementScore]]&lt;=70,"Medium","High"))</f>
        <v>Medium</v>
      </c>
      <c r="O646" t="str">
        <f>IF(Table1[[#This Row],[Age]]&lt;25,"18-24",
IF(Table1[[#This Row],[Age]]&lt;35,"25-34",
IF(Table1[[#This Row],[Age]]&lt;45,"35-44","45+")))</f>
        <v>18-24</v>
      </c>
    </row>
    <row r="647" spans="1:15" x14ac:dyDescent="0.25">
      <c r="A647" t="s">
        <v>656</v>
      </c>
      <c r="B647" s="4">
        <v>44989</v>
      </c>
      <c r="C647" s="1">
        <v>45260</v>
      </c>
      <c r="D647">
        <v>50</v>
      </c>
      <c r="E647" t="s">
        <v>911</v>
      </c>
      <c r="F647" t="s">
        <v>914</v>
      </c>
      <c r="G647" t="s">
        <v>921</v>
      </c>
      <c r="H647">
        <v>21158.17</v>
      </c>
      <c r="I647">
        <v>12</v>
      </c>
      <c r="J647">
        <v>92</v>
      </c>
      <c r="K647" t="s">
        <v>924</v>
      </c>
      <c r="L647" t="str">
        <f>IF(ISBLANK(Table1[[#This Row],[CancelDate]]),"Active","Churned")</f>
        <v>Churned</v>
      </c>
      <c r="M647">
        <f ca="1">IF(ISBLANK(Table1[[#This Row],[CancelDate]]),DATEDIF(Table1[[#This Row],[JoinDate]],TODAY(),"M"),DATEDIF(Table1[[#This Row],[JoinDate]],Table1[[#This Row],[CancelDate]],"M"))</f>
        <v>8</v>
      </c>
      <c r="N647" t="str">
        <f>IF(Table1[[#This Row],[EngagementScore]]&lt;=40,"Low",IF(Table1[[#This Row],[EngagementScore]]&lt;=70,"Medium","High"))</f>
        <v>High</v>
      </c>
      <c r="O647" t="str">
        <f>IF(Table1[[#This Row],[Age]]&lt;25,"18-24",
IF(Table1[[#This Row],[Age]]&lt;35,"25-34",
IF(Table1[[#This Row],[Age]]&lt;45,"35-44","45+")))</f>
        <v>45+</v>
      </c>
    </row>
    <row r="648" spans="1:15" x14ac:dyDescent="0.25">
      <c r="A648" t="s">
        <v>657</v>
      </c>
      <c r="B648" s="4">
        <v>45459</v>
      </c>
      <c r="D648">
        <v>42</v>
      </c>
      <c r="E648" t="s">
        <v>912</v>
      </c>
      <c r="F648" t="s">
        <v>919</v>
      </c>
      <c r="G648" t="s">
        <v>922</v>
      </c>
      <c r="H648">
        <v>22270.05</v>
      </c>
      <c r="I648">
        <v>21</v>
      </c>
      <c r="J648">
        <v>87</v>
      </c>
      <c r="K648" t="s">
        <v>925</v>
      </c>
      <c r="L648" t="str">
        <f>IF(ISBLANK(Table1[[#This Row],[CancelDate]]),"Active","Churned")</f>
        <v>Active</v>
      </c>
      <c r="M648">
        <f ca="1">IF(ISBLANK(Table1[[#This Row],[CancelDate]]),DATEDIF(Table1[[#This Row],[JoinDate]],TODAY(),"M"),DATEDIF(Table1[[#This Row],[JoinDate]],Table1[[#This Row],[CancelDate]],"M"))</f>
        <v>21</v>
      </c>
      <c r="N648" t="str">
        <f>IF(Table1[[#This Row],[EngagementScore]]&lt;=40,"Low",IF(Table1[[#This Row],[EngagementScore]]&lt;=70,"Medium","High"))</f>
        <v>High</v>
      </c>
      <c r="O648" t="str">
        <f>IF(Table1[[#This Row],[Age]]&lt;25,"18-24",
IF(Table1[[#This Row],[Age]]&lt;35,"25-34",
IF(Table1[[#This Row],[Age]]&lt;45,"35-44","45+")))</f>
        <v>35-44</v>
      </c>
    </row>
    <row r="649" spans="1:15" x14ac:dyDescent="0.25">
      <c r="A649" t="s">
        <v>658</v>
      </c>
      <c r="B649" s="4">
        <v>45158</v>
      </c>
      <c r="D649">
        <v>53</v>
      </c>
      <c r="E649" t="s">
        <v>911</v>
      </c>
      <c r="F649" t="s">
        <v>918</v>
      </c>
      <c r="G649" t="s">
        <v>921</v>
      </c>
      <c r="H649">
        <v>3426.57</v>
      </c>
      <c r="I649">
        <v>6</v>
      </c>
      <c r="J649">
        <v>22</v>
      </c>
      <c r="K649" t="s">
        <v>925</v>
      </c>
      <c r="L649" t="str">
        <f>IF(ISBLANK(Table1[[#This Row],[CancelDate]]),"Active","Churned")</f>
        <v>Active</v>
      </c>
      <c r="M649">
        <f ca="1">IF(ISBLANK(Table1[[#This Row],[CancelDate]]),DATEDIF(Table1[[#This Row],[JoinDate]],TODAY(),"M"),DATEDIF(Table1[[#This Row],[JoinDate]],Table1[[#This Row],[CancelDate]],"M"))</f>
        <v>31</v>
      </c>
      <c r="N649" t="str">
        <f>IF(Table1[[#This Row],[EngagementScore]]&lt;=40,"Low",IF(Table1[[#This Row],[EngagementScore]]&lt;=70,"Medium","High"))</f>
        <v>Low</v>
      </c>
      <c r="O649" t="str">
        <f>IF(Table1[[#This Row],[Age]]&lt;25,"18-24",
IF(Table1[[#This Row],[Age]]&lt;35,"25-34",
IF(Table1[[#This Row],[Age]]&lt;45,"35-44","45+")))</f>
        <v>45+</v>
      </c>
    </row>
    <row r="650" spans="1:15" x14ac:dyDescent="0.25">
      <c r="A650" t="s">
        <v>659</v>
      </c>
      <c r="B650" s="4">
        <v>44762</v>
      </c>
      <c r="D650">
        <v>18</v>
      </c>
      <c r="E650" t="s">
        <v>912</v>
      </c>
      <c r="F650" t="s">
        <v>915</v>
      </c>
      <c r="G650" t="s">
        <v>921</v>
      </c>
      <c r="H650">
        <v>18323.38</v>
      </c>
      <c r="I650">
        <v>20</v>
      </c>
      <c r="J650">
        <v>76</v>
      </c>
      <c r="K650" t="s">
        <v>924</v>
      </c>
      <c r="L650" t="str">
        <f>IF(ISBLANK(Table1[[#This Row],[CancelDate]]),"Active","Churned")</f>
        <v>Active</v>
      </c>
      <c r="M650">
        <f ca="1">IF(ISBLANK(Table1[[#This Row],[CancelDate]]),DATEDIF(Table1[[#This Row],[JoinDate]],TODAY(),"M"),DATEDIF(Table1[[#This Row],[JoinDate]],Table1[[#This Row],[CancelDate]],"M"))</f>
        <v>44</v>
      </c>
      <c r="N650" t="str">
        <f>IF(Table1[[#This Row],[EngagementScore]]&lt;=40,"Low",IF(Table1[[#This Row],[EngagementScore]]&lt;=70,"Medium","High"))</f>
        <v>High</v>
      </c>
      <c r="O650" t="str">
        <f>IF(Table1[[#This Row],[Age]]&lt;25,"18-24",
IF(Table1[[#This Row],[Age]]&lt;35,"25-34",
IF(Table1[[#This Row],[Age]]&lt;45,"35-44","45+")))</f>
        <v>18-24</v>
      </c>
    </row>
    <row r="651" spans="1:15" x14ac:dyDescent="0.25">
      <c r="A651" t="s">
        <v>660</v>
      </c>
      <c r="B651" s="4">
        <v>44905</v>
      </c>
      <c r="C651" s="1">
        <v>45190</v>
      </c>
      <c r="D651">
        <v>33</v>
      </c>
      <c r="E651" t="s">
        <v>911</v>
      </c>
      <c r="F651" t="s">
        <v>918</v>
      </c>
      <c r="G651" t="s">
        <v>921</v>
      </c>
      <c r="H651">
        <v>19444.169999999998</v>
      </c>
      <c r="I651">
        <v>21</v>
      </c>
      <c r="J651">
        <v>72</v>
      </c>
      <c r="K651" t="s">
        <v>925</v>
      </c>
      <c r="L651" t="str">
        <f>IF(ISBLANK(Table1[[#This Row],[CancelDate]]),"Active","Churned")</f>
        <v>Churned</v>
      </c>
      <c r="M651">
        <f ca="1">IF(ISBLANK(Table1[[#This Row],[CancelDate]]),DATEDIF(Table1[[#This Row],[JoinDate]],TODAY(),"M"),DATEDIF(Table1[[#This Row],[JoinDate]],Table1[[#This Row],[CancelDate]],"M"))</f>
        <v>9</v>
      </c>
      <c r="N651" t="str">
        <f>IF(Table1[[#This Row],[EngagementScore]]&lt;=40,"Low",IF(Table1[[#This Row],[EngagementScore]]&lt;=70,"Medium","High"))</f>
        <v>High</v>
      </c>
      <c r="O651" t="str">
        <f>IF(Table1[[#This Row],[Age]]&lt;25,"18-24",
IF(Table1[[#This Row],[Age]]&lt;35,"25-34",
IF(Table1[[#This Row],[Age]]&lt;45,"35-44","45+")))</f>
        <v>25-34</v>
      </c>
    </row>
    <row r="652" spans="1:15" x14ac:dyDescent="0.25">
      <c r="A652" t="s">
        <v>661</v>
      </c>
      <c r="B652" s="4">
        <v>45248</v>
      </c>
      <c r="D652">
        <v>42</v>
      </c>
      <c r="E652" t="s">
        <v>911</v>
      </c>
      <c r="F652" t="s">
        <v>918</v>
      </c>
      <c r="G652" t="s">
        <v>922</v>
      </c>
      <c r="H652">
        <v>6980.25</v>
      </c>
      <c r="I652">
        <v>3</v>
      </c>
      <c r="J652">
        <v>39</v>
      </c>
      <c r="K652" t="s">
        <v>923</v>
      </c>
      <c r="L652" t="str">
        <f>IF(ISBLANK(Table1[[#This Row],[CancelDate]]),"Active","Churned")</f>
        <v>Active</v>
      </c>
      <c r="M652">
        <f ca="1">IF(ISBLANK(Table1[[#This Row],[CancelDate]]),DATEDIF(Table1[[#This Row],[JoinDate]],TODAY(),"M"),DATEDIF(Table1[[#This Row],[JoinDate]],Table1[[#This Row],[CancelDate]],"M"))</f>
        <v>28</v>
      </c>
      <c r="N652" t="str">
        <f>IF(Table1[[#This Row],[EngagementScore]]&lt;=40,"Low",IF(Table1[[#This Row],[EngagementScore]]&lt;=70,"Medium","High"))</f>
        <v>Low</v>
      </c>
      <c r="O652" t="str">
        <f>IF(Table1[[#This Row],[Age]]&lt;25,"18-24",
IF(Table1[[#This Row],[Age]]&lt;35,"25-34",
IF(Table1[[#This Row],[Age]]&lt;45,"35-44","45+")))</f>
        <v>35-44</v>
      </c>
    </row>
    <row r="653" spans="1:15" x14ac:dyDescent="0.25">
      <c r="A653" t="s">
        <v>662</v>
      </c>
      <c r="B653" s="4">
        <v>45381</v>
      </c>
      <c r="C653" s="1">
        <v>45639</v>
      </c>
      <c r="D653">
        <v>52</v>
      </c>
      <c r="E653" t="s">
        <v>911</v>
      </c>
      <c r="F653" t="s">
        <v>919</v>
      </c>
      <c r="G653" t="s">
        <v>922</v>
      </c>
      <c r="H653">
        <v>4772.1499999999996</v>
      </c>
      <c r="I653">
        <v>5</v>
      </c>
      <c r="J653">
        <v>26</v>
      </c>
      <c r="K653" t="s">
        <v>925</v>
      </c>
      <c r="L653" t="str">
        <f>IF(ISBLANK(Table1[[#This Row],[CancelDate]]),"Active","Churned")</f>
        <v>Churned</v>
      </c>
      <c r="M653">
        <f ca="1">IF(ISBLANK(Table1[[#This Row],[CancelDate]]),DATEDIF(Table1[[#This Row],[JoinDate]],TODAY(),"M"),DATEDIF(Table1[[#This Row],[JoinDate]],Table1[[#This Row],[CancelDate]],"M"))</f>
        <v>8</v>
      </c>
      <c r="N653" t="str">
        <f>IF(Table1[[#This Row],[EngagementScore]]&lt;=40,"Low",IF(Table1[[#This Row],[EngagementScore]]&lt;=70,"Medium","High"))</f>
        <v>Low</v>
      </c>
      <c r="O653" t="str">
        <f>IF(Table1[[#This Row],[Age]]&lt;25,"18-24",
IF(Table1[[#This Row],[Age]]&lt;35,"25-34",
IF(Table1[[#This Row],[Age]]&lt;45,"35-44","45+")))</f>
        <v>45+</v>
      </c>
    </row>
    <row r="654" spans="1:15" x14ac:dyDescent="0.25">
      <c r="A654" t="s">
        <v>663</v>
      </c>
      <c r="B654" s="4">
        <v>44943</v>
      </c>
      <c r="C654" s="1">
        <v>45037</v>
      </c>
      <c r="D654">
        <v>28</v>
      </c>
      <c r="E654" t="s">
        <v>911</v>
      </c>
      <c r="F654" t="s">
        <v>916</v>
      </c>
      <c r="G654" t="s">
        <v>921</v>
      </c>
      <c r="H654">
        <v>7663.93</v>
      </c>
      <c r="I654">
        <v>6</v>
      </c>
      <c r="J654">
        <v>44</v>
      </c>
      <c r="K654" t="s">
        <v>923</v>
      </c>
      <c r="L654" t="str">
        <f>IF(ISBLANK(Table1[[#This Row],[CancelDate]]),"Active","Churned")</f>
        <v>Churned</v>
      </c>
      <c r="M654">
        <f ca="1">IF(ISBLANK(Table1[[#This Row],[CancelDate]]),DATEDIF(Table1[[#This Row],[JoinDate]],TODAY(),"M"),DATEDIF(Table1[[#This Row],[JoinDate]],Table1[[#This Row],[CancelDate]],"M"))</f>
        <v>3</v>
      </c>
      <c r="N654" t="str">
        <f>IF(Table1[[#This Row],[EngagementScore]]&lt;=40,"Low",IF(Table1[[#This Row],[EngagementScore]]&lt;=70,"Medium","High"))</f>
        <v>Medium</v>
      </c>
      <c r="O654" t="str">
        <f>IF(Table1[[#This Row],[Age]]&lt;25,"18-24",
IF(Table1[[#This Row],[Age]]&lt;35,"25-34",
IF(Table1[[#This Row],[Age]]&lt;45,"35-44","45+")))</f>
        <v>25-34</v>
      </c>
    </row>
    <row r="655" spans="1:15" x14ac:dyDescent="0.25">
      <c r="A655" t="s">
        <v>664</v>
      </c>
      <c r="B655" s="4">
        <v>45101</v>
      </c>
      <c r="D655">
        <v>41</v>
      </c>
      <c r="E655" t="s">
        <v>912</v>
      </c>
      <c r="F655" t="s">
        <v>919</v>
      </c>
      <c r="G655" t="s">
        <v>921</v>
      </c>
      <c r="H655">
        <v>5731.05</v>
      </c>
      <c r="I655">
        <v>2</v>
      </c>
      <c r="J655">
        <v>24</v>
      </c>
      <c r="K655" t="s">
        <v>923</v>
      </c>
      <c r="L655" t="str">
        <f>IF(ISBLANK(Table1[[#This Row],[CancelDate]]),"Active","Churned")</f>
        <v>Active</v>
      </c>
      <c r="M655">
        <f ca="1">IF(ISBLANK(Table1[[#This Row],[CancelDate]]),DATEDIF(Table1[[#This Row],[JoinDate]],TODAY(),"M"),DATEDIF(Table1[[#This Row],[JoinDate]],Table1[[#This Row],[CancelDate]],"M"))</f>
        <v>33</v>
      </c>
      <c r="N655" t="str">
        <f>IF(Table1[[#This Row],[EngagementScore]]&lt;=40,"Low",IF(Table1[[#This Row],[EngagementScore]]&lt;=70,"Medium","High"))</f>
        <v>Low</v>
      </c>
      <c r="O655" t="str">
        <f>IF(Table1[[#This Row],[Age]]&lt;25,"18-24",
IF(Table1[[#This Row],[Age]]&lt;35,"25-34",
IF(Table1[[#This Row],[Age]]&lt;45,"35-44","45+")))</f>
        <v>35-44</v>
      </c>
    </row>
    <row r="656" spans="1:15" x14ac:dyDescent="0.25">
      <c r="A656" t="s">
        <v>665</v>
      </c>
      <c r="B656" s="4">
        <v>44853</v>
      </c>
      <c r="C656" s="1">
        <v>44901</v>
      </c>
      <c r="D656">
        <v>52</v>
      </c>
      <c r="E656" t="s">
        <v>911</v>
      </c>
      <c r="F656" t="s">
        <v>918</v>
      </c>
      <c r="G656" t="s">
        <v>922</v>
      </c>
      <c r="H656">
        <v>2896.05</v>
      </c>
      <c r="I656">
        <v>2</v>
      </c>
      <c r="J656">
        <v>25</v>
      </c>
      <c r="K656" t="s">
        <v>923</v>
      </c>
      <c r="L656" t="str">
        <f>IF(ISBLANK(Table1[[#This Row],[CancelDate]]),"Active","Churned")</f>
        <v>Churned</v>
      </c>
      <c r="M656">
        <f ca="1">IF(ISBLANK(Table1[[#This Row],[CancelDate]]),DATEDIF(Table1[[#This Row],[JoinDate]],TODAY(),"M"),DATEDIF(Table1[[#This Row],[JoinDate]],Table1[[#This Row],[CancelDate]],"M"))</f>
        <v>1</v>
      </c>
      <c r="N656" t="str">
        <f>IF(Table1[[#This Row],[EngagementScore]]&lt;=40,"Low",IF(Table1[[#This Row],[EngagementScore]]&lt;=70,"Medium","High"))</f>
        <v>Low</v>
      </c>
      <c r="O656" t="str">
        <f>IF(Table1[[#This Row],[Age]]&lt;25,"18-24",
IF(Table1[[#This Row],[Age]]&lt;35,"25-34",
IF(Table1[[#This Row],[Age]]&lt;45,"35-44","45+")))</f>
        <v>45+</v>
      </c>
    </row>
    <row r="657" spans="1:15" x14ac:dyDescent="0.25">
      <c r="A657" t="s">
        <v>666</v>
      </c>
      <c r="B657" s="4">
        <v>44768</v>
      </c>
      <c r="D657">
        <v>38</v>
      </c>
      <c r="E657" t="s">
        <v>912</v>
      </c>
      <c r="F657" t="s">
        <v>915</v>
      </c>
      <c r="G657" t="s">
        <v>921</v>
      </c>
      <c r="H657">
        <v>6364.67</v>
      </c>
      <c r="I657">
        <v>9</v>
      </c>
      <c r="J657">
        <v>57</v>
      </c>
      <c r="K657" t="s">
        <v>923</v>
      </c>
      <c r="L657" t="str">
        <f>IF(ISBLANK(Table1[[#This Row],[CancelDate]]),"Active","Churned")</f>
        <v>Active</v>
      </c>
      <c r="M657">
        <f ca="1">IF(ISBLANK(Table1[[#This Row],[CancelDate]]),DATEDIF(Table1[[#This Row],[JoinDate]],TODAY(),"M"),DATEDIF(Table1[[#This Row],[JoinDate]],Table1[[#This Row],[CancelDate]],"M"))</f>
        <v>44</v>
      </c>
      <c r="N657" t="str">
        <f>IF(Table1[[#This Row],[EngagementScore]]&lt;=40,"Low",IF(Table1[[#This Row],[EngagementScore]]&lt;=70,"Medium","High"))</f>
        <v>Medium</v>
      </c>
      <c r="O657" t="str">
        <f>IF(Table1[[#This Row],[Age]]&lt;25,"18-24",
IF(Table1[[#This Row],[Age]]&lt;35,"25-34",
IF(Table1[[#This Row],[Age]]&lt;45,"35-44","45+")))</f>
        <v>35-44</v>
      </c>
    </row>
    <row r="658" spans="1:15" x14ac:dyDescent="0.25">
      <c r="A658" t="s">
        <v>667</v>
      </c>
      <c r="B658" s="4">
        <v>44712</v>
      </c>
      <c r="C658" s="1">
        <v>45020</v>
      </c>
      <c r="D658">
        <v>21</v>
      </c>
      <c r="E658" t="s">
        <v>912</v>
      </c>
      <c r="F658" t="s">
        <v>919</v>
      </c>
      <c r="G658" t="s">
        <v>920</v>
      </c>
      <c r="H658">
        <v>8377.9699999999993</v>
      </c>
      <c r="I658">
        <v>5</v>
      </c>
      <c r="J658">
        <v>44</v>
      </c>
      <c r="K658" t="s">
        <v>923</v>
      </c>
      <c r="L658" t="str">
        <f>IF(ISBLANK(Table1[[#This Row],[CancelDate]]),"Active","Churned")</f>
        <v>Churned</v>
      </c>
      <c r="M658">
        <f ca="1">IF(ISBLANK(Table1[[#This Row],[CancelDate]]),DATEDIF(Table1[[#This Row],[JoinDate]],TODAY(),"M"),DATEDIF(Table1[[#This Row],[JoinDate]],Table1[[#This Row],[CancelDate]],"M"))</f>
        <v>10</v>
      </c>
      <c r="N658" t="str">
        <f>IF(Table1[[#This Row],[EngagementScore]]&lt;=40,"Low",IF(Table1[[#This Row],[EngagementScore]]&lt;=70,"Medium","High"))</f>
        <v>Medium</v>
      </c>
      <c r="O658" t="str">
        <f>IF(Table1[[#This Row],[Age]]&lt;25,"18-24",
IF(Table1[[#This Row],[Age]]&lt;35,"25-34",
IF(Table1[[#This Row],[Age]]&lt;45,"35-44","45+")))</f>
        <v>18-24</v>
      </c>
    </row>
    <row r="659" spans="1:15" x14ac:dyDescent="0.25">
      <c r="A659" t="s">
        <v>668</v>
      </c>
      <c r="B659" s="4">
        <v>45190</v>
      </c>
      <c r="D659">
        <v>31</v>
      </c>
      <c r="E659" t="s">
        <v>911</v>
      </c>
      <c r="F659" t="s">
        <v>917</v>
      </c>
      <c r="G659" t="s">
        <v>921</v>
      </c>
      <c r="H659">
        <v>6258.59</v>
      </c>
      <c r="I659">
        <v>5</v>
      </c>
      <c r="J659">
        <v>62</v>
      </c>
      <c r="K659" t="s">
        <v>925</v>
      </c>
      <c r="L659" t="str">
        <f>IF(ISBLANK(Table1[[#This Row],[CancelDate]]),"Active","Churned")</f>
        <v>Active</v>
      </c>
      <c r="M659">
        <f ca="1">IF(ISBLANK(Table1[[#This Row],[CancelDate]]),DATEDIF(Table1[[#This Row],[JoinDate]],TODAY(),"M"),DATEDIF(Table1[[#This Row],[JoinDate]],Table1[[#This Row],[CancelDate]],"M"))</f>
        <v>30</v>
      </c>
      <c r="N659" t="str">
        <f>IF(Table1[[#This Row],[EngagementScore]]&lt;=40,"Low",IF(Table1[[#This Row],[EngagementScore]]&lt;=70,"Medium","High"))</f>
        <v>Medium</v>
      </c>
      <c r="O659" t="str">
        <f>IF(Table1[[#This Row],[Age]]&lt;25,"18-24",
IF(Table1[[#This Row],[Age]]&lt;35,"25-34",
IF(Table1[[#This Row],[Age]]&lt;45,"35-44","45+")))</f>
        <v>25-34</v>
      </c>
    </row>
    <row r="660" spans="1:15" x14ac:dyDescent="0.25">
      <c r="A660" t="s">
        <v>669</v>
      </c>
      <c r="B660" s="4">
        <v>45163</v>
      </c>
      <c r="D660">
        <v>44</v>
      </c>
      <c r="E660" t="s">
        <v>911</v>
      </c>
      <c r="F660" t="s">
        <v>918</v>
      </c>
      <c r="G660" t="s">
        <v>922</v>
      </c>
      <c r="H660">
        <v>20443.490000000002</v>
      </c>
      <c r="I660">
        <v>24</v>
      </c>
      <c r="J660">
        <v>94</v>
      </c>
      <c r="K660" t="s">
        <v>923</v>
      </c>
      <c r="L660" t="str">
        <f>IF(ISBLANK(Table1[[#This Row],[CancelDate]]),"Active","Churned")</f>
        <v>Active</v>
      </c>
      <c r="M660">
        <f ca="1">IF(ISBLANK(Table1[[#This Row],[CancelDate]]),DATEDIF(Table1[[#This Row],[JoinDate]],TODAY(),"M"),DATEDIF(Table1[[#This Row],[JoinDate]],Table1[[#This Row],[CancelDate]],"M"))</f>
        <v>31</v>
      </c>
      <c r="N660" t="str">
        <f>IF(Table1[[#This Row],[EngagementScore]]&lt;=40,"Low",IF(Table1[[#This Row],[EngagementScore]]&lt;=70,"Medium","High"))</f>
        <v>High</v>
      </c>
      <c r="O660" t="str">
        <f>IF(Table1[[#This Row],[Age]]&lt;25,"18-24",
IF(Table1[[#This Row],[Age]]&lt;35,"25-34",
IF(Table1[[#This Row],[Age]]&lt;45,"35-44","45+")))</f>
        <v>35-44</v>
      </c>
    </row>
    <row r="661" spans="1:15" x14ac:dyDescent="0.25">
      <c r="A661" t="s">
        <v>670</v>
      </c>
      <c r="B661" s="4">
        <v>44679</v>
      </c>
      <c r="D661">
        <v>50</v>
      </c>
      <c r="E661" t="s">
        <v>912</v>
      </c>
      <c r="F661" t="s">
        <v>919</v>
      </c>
      <c r="G661" t="s">
        <v>922</v>
      </c>
      <c r="H661">
        <v>24750.61</v>
      </c>
      <c r="I661">
        <v>15</v>
      </c>
      <c r="J661">
        <v>79</v>
      </c>
      <c r="K661" t="s">
        <v>925</v>
      </c>
      <c r="L661" t="str">
        <f>IF(ISBLANK(Table1[[#This Row],[CancelDate]]),"Active","Churned")</f>
        <v>Active</v>
      </c>
      <c r="M661">
        <f ca="1">IF(ISBLANK(Table1[[#This Row],[CancelDate]]),DATEDIF(Table1[[#This Row],[JoinDate]],TODAY(),"M"),DATEDIF(Table1[[#This Row],[JoinDate]],Table1[[#This Row],[CancelDate]],"M"))</f>
        <v>47</v>
      </c>
      <c r="N661" t="str">
        <f>IF(Table1[[#This Row],[EngagementScore]]&lt;=40,"Low",IF(Table1[[#This Row],[EngagementScore]]&lt;=70,"Medium","High"))</f>
        <v>High</v>
      </c>
      <c r="O661" t="str">
        <f>IF(Table1[[#This Row],[Age]]&lt;25,"18-24",
IF(Table1[[#This Row],[Age]]&lt;35,"25-34",
IF(Table1[[#This Row],[Age]]&lt;45,"35-44","45+")))</f>
        <v>45+</v>
      </c>
    </row>
    <row r="662" spans="1:15" x14ac:dyDescent="0.25">
      <c r="A662" t="s">
        <v>671</v>
      </c>
      <c r="B662" s="4">
        <v>45263</v>
      </c>
      <c r="C662" s="1">
        <v>45626</v>
      </c>
      <c r="D662">
        <v>33</v>
      </c>
      <c r="E662" t="s">
        <v>912</v>
      </c>
      <c r="F662" t="s">
        <v>917</v>
      </c>
      <c r="G662" t="s">
        <v>920</v>
      </c>
      <c r="H662">
        <v>4148.41</v>
      </c>
      <c r="I662">
        <v>4</v>
      </c>
      <c r="J662">
        <v>18</v>
      </c>
      <c r="K662" t="s">
        <v>923</v>
      </c>
      <c r="L662" t="str">
        <f>IF(ISBLANK(Table1[[#This Row],[CancelDate]]),"Active","Churned")</f>
        <v>Churned</v>
      </c>
      <c r="M662">
        <f ca="1">IF(ISBLANK(Table1[[#This Row],[CancelDate]]),DATEDIF(Table1[[#This Row],[JoinDate]],TODAY(),"M"),DATEDIF(Table1[[#This Row],[JoinDate]],Table1[[#This Row],[CancelDate]],"M"))</f>
        <v>11</v>
      </c>
      <c r="N662" t="str">
        <f>IF(Table1[[#This Row],[EngagementScore]]&lt;=40,"Low",IF(Table1[[#This Row],[EngagementScore]]&lt;=70,"Medium","High"))</f>
        <v>Low</v>
      </c>
      <c r="O662" t="str">
        <f>IF(Table1[[#This Row],[Age]]&lt;25,"18-24",
IF(Table1[[#This Row],[Age]]&lt;35,"25-34",
IF(Table1[[#This Row],[Age]]&lt;45,"35-44","45+")))</f>
        <v>25-34</v>
      </c>
    </row>
    <row r="663" spans="1:15" x14ac:dyDescent="0.25">
      <c r="A663" t="s">
        <v>672</v>
      </c>
      <c r="B663" s="4">
        <v>45355</v>
      </c>
      <c r="C663" s="1">
        <v>45459</v>
      </c>
      <c r="D663">
        <v>19</v>
      </c>
      <c r="E663" t="s">
        <v>911</v>
      </c>
      <c r="F663" t="s">
        <v>915</v>
      </c>
      <c r="G663" t="s">
        <v>921</v>
      </c>
      <c r="H663">
        <v>11313.95</v>
      </c>
      <c r="I663">
        <v>8</v>
      </c>
      <c r="J663">
        <v>45</v>
      </c>
      <c r="K663" t="s">
        <v>925</v>
      </c>
      <c r="L663" t="str">
        <f>IF(ISBLANK(Table1[[#This Row],[CancelDate]]),"Active","Churned")</f>
        <v>Churned</v>
      </c>
      <c r="M663">
        <f ca="1">IF(ISBLANK(Table1[[#This Row],[CancelDate]]),DATEDIF(Table1[[#This Row],[JoinDate]],TODAY(),"M"),DATEDIF(Table1[[#This Row],[JoinDate]],Table1[[#This Row],[CancelDate]],"M"))</f>
        <v>3</v>
      </c>
      <c r="N663" t="str">
        <f>IF(Table1[[#This Row],[EngagementScore]]&lt;=40,"Low",IF(Table1[[#This Row],[EngagementScore]]&lt;=70,"Medium","High"))</f>
        <v>Medium</v>
      </c>
      <c r="O663" t="str">
        <f>IF(Table1[[#This Row],[Age]]&lt;25,"18-24",
IF(Table1[[#This Row],[Age]]&lt;35,"25-34",
IF(Table1[[#This Row],[Age]]&lt;45,"35-44","45+")))</f>
        <v>18-24</v>
      </c>
    </row>
    <row r="664" spans="1:15" x14ac:dyDescent="0.25">
      <c r="A664" t="s">
        <v>673</v>
      </c>
      <c r="B664" s="4">
        <v>45104</v>
      </c>
      <c r="D664">
        <v>50</v>
      </c>
      <c r="E664" t="s">
        <v>912</v>
      </c>
      <c r="F664" t="s">
        <v>919</v>
      </c>
      <c r="G664" t="s">
        <v>922</v>
      </c>
      <c r="H664">
        <v>14592.15</v>
      </c>
      <c r="I664">
        <v>29</v>
      </c>
      <c r="J664">
        <v>95</v>
      </c>
      <c r="K664" t="s">
        <v>923</v>
      </c>
      <c r="L664" t="str">
        <f>IF(ISBLANK(Table1[[#This Row],[CancelDate]]),"Active","Churned")</f>
        <v>Active</v>
      </c>
      <c r="M664">
        <f ca="1">IF(ISBLANK(Table1[[#This Row],[CancelDate]]),DATEDIF(Table1[[#This Row],[JoinDate]],TODAY(),"M"),DATEDIF(Table1[[#This Row],[JoinDate]],Table1[[#This Row],[CancelDate]],"M"))</f>
        <v>33</v>
      </c>
      <c r="N664" t="str">
        <f>IF(Table1[[#This Row],[EngagementScore]]&lt;=40,"Low",IF(Table1[[#This Row],[EngagementScore]]&lt;=70,"Medium","High"))</f>
        <v>High</v>
      </c>
      <c r="O664" t="str">
        <f>IF(Table1[[#This Row],[Age]]&lt;25,"18-24",
IF(Table1[[#This Row],[Age]]&lt;35,"25-34",
IF(Table1[[#This Row],[Age]]&lt;45,"35-44","45+")))</f>
        <v>45+</v>
      </c>
    </row>
    <row r="665" spans="1:15" x14ac:dyDescent="0.25">
      <c r="A665" t="s">
        <v>674</v>
      </c>
      <c r="B665" s="4">
        <v>44668</v>
      </c>
      <c r="D665">
        <v>19</v>
      </c>
      <c r="E665" t="s">
        <v>911</v>
      </c>
      <c r="F665" t="s">
        <v>914</v>
      </c>
      <c r="G665" t="s">
        <v>921</v>
      </c>
      <c r="H665">
        <v>8025.33</v>
      </c>
      <c r="I665">
        <v>14</v>
      </c>
      <c r="J665">
        <v>49</v>
      </c>
      <c r="K665" t="s">
        <v>925</v>
      </c>
      <c r="L665" t="str">
        <f>IF(ISBLANK(Table1[[#This Row],[CancelDate]]),"Active","Churned")</f>
        <v>Active</v>
      </c>
      <c r="M665">
        <f ca="1">IF(ISBLANK(Table1[[#This Row],[CancelDate]]),DATEDIF(Table1[[#This Row],[JoinDate]],TODAY(),"M"),DATEDIF(Table1[[#This Row],[JoinDate]],Table1[[#This Row],[CancelDate]],"M"))</f>
        <v>47</v>
      </c>
      <c r="N665" t="str">
        <f>IF(Table1[[#This Row],[EngagementScore]]&lt;=40,"Low",IF(Table1[[#This Row],[EngagementScore]]&lt;=70,"Medium","High"))</f>
        <v>Medium</v>
      </c>
      <c r="O665" t="str">
        <f>IF(Table1[[#This Row],[Age]]&lt;25,"18-24",
IF(Table1[[#This Row],[Age]]&lt;35,"25-34",
IF(Table1[[#This Row],[Age]]&lt;45,"35-44","45+")))</f>
        <v>18-24</v>
      </c>
    </row>
    <row r="666" spans="1:15" x14ac:dyDescent="0.25">
      <c r="A666" t="s">
        <v>675</v>
      </c>
      <c r="B666" s="4">
        <v>45150</v>
      </c>
      <c r="D666">
        <v>40</v>
      </c>
      <c r="E666" t="s">
        <v>911</v>
      </c>
      <c r="F666" t="s">
        <v>914</v>
      </c>
      <c r="G666" t="s">
        <v>922</v>
      </c>
      <c r="H666">
        <v>29531.45</v>
      </c>
      <c r="I666">
        <v>29</v>
      </c>
      <c r="J666">
        <v>78</v>
      </c>
      <c r="K666" t="s">
        <v>913</v>
      </c>
      <c r="L666" t="str">
        <f>IF(ISBLANK(Table1[[#This Row],[CancelDate]]),"Active","Churned")</f>
        <v>Active</v>
      </c>
      <c r="M666">
        <f ca="1">IF(ISBLANK(Table1[[#This Row],[CancelDate]]),DATEDIF(Table1[[#This Row],[JoinDate]],TODAY(),"M"),DATEDIF(Table1[[#This Row],[JoinDate]],Table1[[#This Row],[CancelDate]],"M"))</f>
        <v>31</v>
      </c>
      <c r="N666" t="str">
        <f>IF(Table1[[#This Row],[EngagementScore]]&lt;=40,"Low",IF(Table1[[#This Row],[EngagementScore]]&lt;=70,"Medium","High"))</f>
        <v>High</v>
      </c>
      <c r="O666" t="str">
        <f>IF(Table1[[#This Row],[Age]]&lt;25,"18-24",
IF(Table1[[#This Row],[Age]]&lt;35,"25-34",
IF(Table1[[#This Row],[Age]]&lt;45,"35-44","45+")))</f>
        <v>35-44</v>
      </c>
    </row>
    <row r="667" spans="1:15" x14ac:dyDescent="0.25">
      <c r="A667" t="s">
        <v>676</v>
      </c>
      <c r="B667" s="4">
        <v>45003</v>
      </c>
      <c r="D667">
        <v>19</v>
      </c>
      <c r="E667" t="s">
        <v>911</v>
      </c>
      <c r="F667" t="s">
        <v>916</v>
      </c>
      <c r="G667" t="s">
        <v>921</v>
      </c>
      <c r="H667">
        <v>6500.83</v>
      </c>
      <c r="I667">
        <v>6</v>
      </c>
      <c r="J667">
        <v>58</v>
      </c>
      <c r="K667" t="s">
        <v>924</v>
      </c>
      <c r="L667" t="str">
        <f>IF(ISBLANK(Table1[[#This Row],[CancelDate]]),"Active","Churned")</f>
        <v>Active</v>
      </c>
      <c r="M667">
        <f ca="1">IF(ISBLANK(Table1[[#This Row],[CancelDate]]),DATEDIF(Table1[[#This Row],[JoinDate]],TODAY(),"M"),DATEDIF(Table1[[#This Row],[JoinDate]],Table1[[#This Row],[CancelDate]],"M"))</f>
        <v>36</v>
      </c>
      <c r="N667" t="str">
        <f>IF(Table1[[#This Row],[EngagementScore]]&lt;=40,"Low",IF(Table1[[#This Row],[EngagementScore]]&lt;=70,"Medium","High"))</f>
        <v>Medium</v>
      </c>
      <c r="O667" t="str">
        <f>IF(Table1[[#This Row],[Age]]&lt;25,"18-24",
IF(Table1[[#This Row],[Age]]&lt;35,"25-34",
IF(Table1[[#This Row],[Age]]&lt;45,"35-44","45+")))</f>
        <v>18-24</v>
      </c>
    </row>
    <row r="668" spans="1:15" x14ac:dyDescent="0.25">
      <c r="A668" t="s">
        <v>677</v>
      </c>
      <c r="B668" s="4">
        <v>45417</v>
      </c>
      <c r="D668">
        <v>39</v>
      </c>
      <c r="E668" t="s">
        <v>911</v>
      </c>
      <c r="F668" t="s">
        <v>918</v>
      </c>
      <c r="G668" t="s">
        <v>922</v>
      </c>
      <c r="H668">
        <v>16399.13</v>
      </c>
      <c r="I668">
        <v>17</v>
      </c>
      <c r="J668">
        <v>91</v>
      </c>
      <c r="K668" t="s">
        <v>924</v>
      </c>
      <c r="L668" t="str">
        <f>IF(ISBLANK(Table1[[#This Row],[CancelDate]]),"Active","Churned")</f>
        <v>Active</v>
      </c>
      <c r="M668">
        <f ca="1">IF(ISBLANK(Table1[[#This Row],[CancelDate]]),DATEDIF(Table1[[#This Row],[JoinDate]],TODAY(),"M"),DATEDIF(Table1[[#This Row],[JoinDate]],Table1[[#This Row],[CancelDate]],"M"))</f>
        <v>22</v>
      </c>
      <c r="N668" t="str">
        <f>IF(Table1[[#This Row],[EngagementScore]]&lt;=40,"Low",IF(Table1[[#This Row],[EngagementScore]]&lt;=70,"Medium","High"))</f>
        <v>High</v>
      </c>
      <c r="O668" t="str">
        <f>IF(Table1[[#This Row],[Age]]&lt;25,"18-24",
IF(Table1[[#This Row],[Age]]&lt;35,"25-34",
IF(Table1[[#This Row],[Age]]&lt;45,"35-44","45+")))</f>
        <v>35-44</v>
      </c>
    </row>
    <row r="669" spans="1:15" x14ac:dyDescent="0.25">
      <c r="A669" t="s">
        <v>678</v>
      </c>
      <c r="B669" s="4">
        <v>45432</v>
      </c>
      <c r="D669">
        <v>59</v>
      </c>
      <c r="E669" t="s">
        <v>912</v>
      </c>
      <c r="F669" t="s">
        <v>914</v>
      </c>
      <c r="G669" t="s">
        <v>921</v>
      </c>
      <c r="H669">
        <v>5683.68</v>
      </c>
      <c r="I669">
        <v>3</v>
      </c>
      <c r="J669">
        <v>24</v>
      </c>
      <c r="K669" t="s">
        <v>924</v>
      </c>
      <c r="L669" t="str">
        <f>IF(ISBLANK(Table1[[#This Row],[CancelDate]]),"Active","Churned")</f>
        <v>Active</v>
      </c>
      <c r="M669">
        <f ca="1">IF(ISBLANK(Table1[[#This Row],[CancelDate]]),DATEDIF(Table1[[#This Row],[JoinDate]],TODAY(),"M"),DATEDIF(Table1[[#This Row],[JoinDate]],Table1[[#This Row],[CancelDate]],"M"))</f>
        <v>22</v>
      </c>
      <c r="N669" t="str">
        <f>IF(Table1[[#This Row],[EngagementScore]]&lt;=40,"Low",IF(Table1[[#This Row],[EngagementScore]]&lt;=70,"Medium","High"))</f>
        <v>Low</v>
      </c>
      <c r="O669" t="str">
        <f>IF(Table1[[#This Row],[Age]]&lt;25,"18-24",
IF(Table1[[#This Row],[Age]]&lt;35,"25-34",
IF(Table1[[#This Row],[Age]]&lt;45,"35-44","45+")))</f>
        <v>45+</v>
      </c>
    </row>
    <row r="670" spans="1:15" x14ac:dyDescent="0.25">
      <c r="A670" t="s">
        <v>679</v>
      </c>
      <c r="B670" s="4">
        <v>45323</v>
      </c>
      <c r="D670">
        <v>54</v>
      </c>
      <c r="E670" t="s">
        <v>911</v>
      </c>
      <c r="F670" t="s">
        <v>917</v>
      </c>
      <c r="G670" t="s">
        <v>920</v>
      </c>
      <c r="H670">
        <v>17996.45</v>
      </c>
      <c r="I670">
        <v>20</v>
      </c>
      <c r="J670">
        <v>79</v>
      </c>
      <c r="K670" t="s">
        <v>923</v>
      </c>
      <c r="L670" t="str">
        <f>IF(ISBLANK(Table1[[#This Row],[CancelDate]]),"Active","Churned")</f>
        <v>Active</v>
      </c>
      <c r="M670">
        <f ca="1">IF(ISBLANK(Table1[[#This Row],[CancelDate]]),DATEDIF(Table1[[#This Row],[JoinDate]],TODAY(),"M"),DATEDIF(Table1[[#This Row],[JoinDate]],Table1[[#This Row],[CancelDate]],"M"))</f>
        <v>26</v>
      </c>
      <c r="N670" t="str">
        <f>IF(Table1[[#This Row],[EngagementScore]]&lt;=40,"Low",IF(Table1[[#This Row],[EngagementScore]]&lt;=70,"Medium","High"))</f>
        <v>High</v>
      </c>
      <c r="O670" t="str">
        <f>IF(Table1[[#This Row],[Age]]&lt;25,"18-24",
IF(Table1[[#This Row],[Age]]&lt;35,"25-34",
IF(Table1[[#This Row],[Age]]&lt;45,"35-44","45+")))</f>
        <v>45+</v>
      </c>
    </row>
    <row r="671" spans="1:15" x14ac:dyDescent="0.25">
      <c r="A671" t="s">
        <v>680</v>
      </c>
      <c r="B671" s="4">
        <v>44810</v>
      </c>
      <c r="D671">
        <v>32</v>
      </c>
      <c r="E671" t="s">
        <v>912</v>
      </c>
      <c r="F671" t="s">
        <v>916</v>
      </c>
      <c r="G671" t="s">
        <v>921</v>
      </c>
      <c r="H671">
        <v>26895.73</v>
      </c>
      <c r="I671">
        <v>12</v>
      </c>
      <c r="J671">
        <v>85</v>
      </c>
      <c r="K671" t="s">
        <v>925</v>
      </c>
      <c r="L671" t="str">
        <f>IF(ISBLANK(Table1[[#This Row],[CancelDate]]),"Active","Churned")</f>
        <v>Active</v>
      </c>
      <c r="M671">
        <f ca="1">IF(ISBLANK(Table1[[#This Row],[CancelDate]]),DATEDIF(Table1[[#This Row],[JoinDate]],TODAY(),"M"),DATEDIF(Table1[[#This Row],[JoinDate]],Table1[[#This Row],[CancelDate]],"M"))</f>
        <v>42</v>
      </c>
      <c r="N671" t="str">
        <f>IF(Table1[[#This Row],[EngagementScore]]&lt;=40,"Low",IF(Table1[[#This Row],[EngagementScore]]&lt;=70,"Medium","High"))</f>
        <v>High</v>
      </c>
      <c r="O671" t="str">
        <f>IF(Table1[[#This Row],[Age]]&lt;25,"18-24",
IF(Table1[[#This Row],[Age]]&lt;35,"25-34",
IF(Table1[[#This Row],[Age]]&lt;45,"35-44","45+")))</f>
        <v>25-34</v>
      </c>
    </row>
    <row r="672" spans="1:15" x14ac:dyDescent="0.25">
      <c r="A672" t="s">
        <v>681</v>
      </c>
      <c r="B672" s="4">
        <v>45005</v>
      </c>
      <c r="D672">
        <v>26</v>
      </c>
      <c r="E672" t="s">
        <v>912</v>
      </c>
      <c r="F672" t="s">
        <v>915</v>
      </c>
      <c r="G672" t="s">
        <v>922</v>
      </c>
      <c r="H672">
        <v>7071.53</v>
      </c>
      <c r="I672">
        <v>1</v>
      </c>
      <c r="J672">
        <v>17</v>
      </c>
      <c r="K672" t="s">
        <v>923</v>
      </c>
      <c r="L672" t="str">
        <f>IF(ISBLANK(Table1[[#This Row],[CancelDate]]),"Active","Churned")</f>
        <v>Active</v>
      </c>
      <c r="M672">
        <f ca="1">IF(ISBLANK(Table1[[#This Row],[CancelDate]]),DATEDIF(Table1[[#This Row],[JoinDate]],TODAY(),"M"),DATEDIF(Table1[[#This Row],[JoinDate]],Table1[[#This Row],[CancelDate]],"M"))</f>
        <v>36</v>
      </c>
      <c r="N672" t="str">
        <f>IF(Table1[[#This Row],[EngagementScore]]&lt;=40,"Low",IF(Table1[[#This Row],[EngagementScore]]&lt;=70,"Medium","High"))</f>
        <v>Low</v>
      </c>
      <c r="O672" t="str">
        <f>IF(Table1[[#This Row],[Age]]&lt;25,"18-24",
IF(Table1[[#This Row],[Age]]&lt;35,"25-34",
IF(Table1[[#This Row],[Age]]&lt;45,"35-44","45+")))</f>
        <v>25-34</v>
      </c>
    </row>
    <row r="673" spans="1:15" x14ac:dyDescent="0.25">
      <c r="A673" t="s">
        <v>682</v>
      </c>
      <c r="B673" s="4">
        <v>45162</v>
      </c>
      <c r="D673">
        <v>46</v>
      </c>
      <c r="E673" t="s">
        <v>911</v>
      </c>
      <c r="F673" t="s">
        <v>914</v>
      </c>
      <c r="G673" t="s">
        <v>921</v>
      </c>
      <c r="H673">
        <v>12617.65</v>
      </c>
      <c r="I673">
        <v>5</v>
      </c>
      <c r="J673">
        <v>43</v>
      </c>
      <c r="K673" t="s">
        <v>925</v>
      </c>
      <c r="L673" t="str">
        <f>IF(ISBLANK(Table1[[#This Row],[CancelDate]]),"Active","Churned")</f>
        <v>Active</v>
      </c>
      <c r="M673">
        <f ca="1">IF(ISBLANK(Table1[[#This Row],[CancelDate]]),DATEDIF(Table1[[#This Row],[JoinDate]],TODAY(),"M"),DATEDIF(Table1[[#This Row],[JoinDate]],Table1[[#This Row],[CancelDate]],"M"))</f>
        <v>31</v>
      </c>
      <c r="N673" t="str">
        <f>IF(Table1[[#This Row],[EngagementScore]]&lt;=40,"Low",IF(Table1[[#This Row],[EngagementScore]]&lt;=70,"Medium","High"))</f>
        <v>Medium</v>
      </c>
      <c r="O673" t="str">
        <f>IF(Table1[[#This Row],[Age]]&lt;25,"18-24",
IF(Table1[[#This Row],[Age]]&lt;35,"25-34",
IF(Table1[[#This Row],[Age]]&lt;45,"35-44","45+")))</f>
        <v>45+</v>
      </c>
    </row>
    <row r="674" spans="1:15" x14ac:dyDescent="0.25">
      <c r="A674" t="s">
        <v>683</v>
      </c>
      <c r="B674" s="4">
        <v>44904</v>
      </c>
      <c r="C674" s="1">
        <v>45007</v>
      </c>
      <c r="D674">
        <v>37</v>
      </c>
      <c r="E674" t="s">
        <v>911</v>
      </c>
      <c r="F674" t="s">
        <v>915</v>
      </c>
      <c r="G674" t="s">
        <v>921</v>
      </c>
      <c r="H674">
        <v>6688.76</v>
      </c>
      <c r="I674">
        <v>4</v>
      </c>
      <c r="J674">
        <v>20</v>
      </c>
      <c r="K674" t="s">
        <v>925</v>
      </c>
      <c r="L674" t="str">
        <f>IF(ISBLANK(Table1[[#This Row],[CancelDate]]),"Active","Churned")</f>
        <v>Churned</v>
      </c>
      <c r="M674">
        <f ca="1">IF(ISBLANK(Table1[[#This Row],[CancelDate]]),DATEDIF(Table1[[#This Row],[JoinDate]],TODAY(),"M"),DATEDIF(Table1[[#This Row],[JoinDate]],Table1[[#This Row],[CancelDate]],"M"))</f>
        <v>3</v>
      </c>
      <c r="N674" t="str">
        <f>IF(Table1[[#This Row],[EngagementScore]]&lt;=40,"Low",IF(Table1[[#This Row],[EngagementScore]]&lt;=70,"Medium","High"))</f>
        <v>Low</v>
      </c>
      <c r="O674" t="str">
        <f>IF(Table1[[#This Row],[Age]]&lt;25,"18-24",
IF(Table1[[#This Row],[Age]]&lt;35,"25-34",
IF(Table1[[#This Row],[Age]]&lt;45,"35-44","45+")))</f>
        <v>35-44</v>
      </c>
    </row>
    <row r="675" spans="1:15" x14ac:dyDescent="0.25">
      <c r="A675" t="s">
        <v>684</v>
      </c>
      <c r="B675" s="4">
        <v>44717</v>
      </c>
      <c r="D675">
        <v>21</v>
      </c>
      <c r="E675" t="s">
        <v>912</v>
      </c>
      <c r="F675" t="s">
        <v>918</v>
      </c>
      <c r="G675" t="s">
        <v>921</v>
      </c>
      <c r="H675">
        <v>14367.93</v>
      </c>
      <c r="I675">
        <v>14</v>
      </c>
      <c r="J675">
        <v>66</v>
      </c>
      <c r="K675" t="s">
        <v>923</v>
      </c>
      <c r="L675" t="str">
        <f>IF(ISBLANK(Table1[[#This Row],[CancelDate]]),"Active","Churned")</f>
        <v>Active</v>
      </c>
      <c r="M675">
        <f ca="1">IF(ISBLANK(Table1[[#This Row],[CancelDate]]),DATEDIF(Table1[[#This Row],[JoinDate]],TODAY(),"M"),DATEDIF(Table1[[#This Row],[JoinDate]],Table1[[#This Row],[CancelDate]],"M"))</f>
        <v>45</v>
      </c>
      <c r="N675" t="str">
        <f>IF(Table1[[#This Row],[EngagementScore]]&lt;=40,"Low",IF(Table1[[#This Row],[EngagementScore]]&lt;=70,"Medium","High"))</f>
        <v>Medium</v>
      </c>
      <c r="O675" t="str">
        <f>IF(Table1[[#This Row],[Age]]&lt;25,"18-24",
IF(Table1[[#This Row],[Age]]&lt;35,"25-34",
IF(Table1[[#This Row],[Age]]&lt;45,"35-44","45+")))</f>
        <v>18-24</v>
      </c>
    </row>
    <row r="676" spans="1:15" x14ac:dyDescent="0.25">
      <c r="A676" t="s">
        <v>685</v>
      </c>
      <c r="B676" s="4">
        <v>44948</v>
      </c>
      <c r="C676" s="1">
        <v>45127</v>
      </c>
      <c r="D676">
        <v>27</v>
      </c>
      <c r="E676" t="s">
        <v>912</v>
      </c>
      <c r="F676" t="s">
        <v>914</v>
      </c>
      <c r="G676" t="s">
        <v>922</v>
      </c>
      <c r="H676">
        <v>7567.72</v>
      </c>
      <c r="I676">
        <v>6</v>
      </c>
      <c r="J676">
        <v>18</v>
      </c>
      <c r="K676" t="s">
        <v>913</v>
      </c>
      <c r="L676" t="str">
        <f>IF(ISBLANK(Table1[[#This Row],[CancelDate]]),"Active","Churned")</f>
        <v>Churned</v>
      </c>
      <c r="M676">
        <f ca="1">IF(ISBLANK(Table1[[#This Row],[CancelDate]]),DATEDIF(Table1[[#This Row],[JoinDate]],TODAY(),"M"),DATEDIF(Table1[[#This Row],[JoinDate]],Table1[[#This Row],[CancelDate]],"M"))</f>
        <v>5</v>
      </c>
      <c r="N676" t="str">
        <f>IF(Table1[[#This Row],[EngagementScore]]&lt;=40,"Low",IF(Table1[[#This Row],[EngagementScore]]&lt;=70,"Medium","High"))</f>
        <v>Low</v>
      </c>
      <c r="O676" t="str">
        <f>IF(Table1[[#This Row],[Age]]&lt;25,"18-24",
IF(Table1[[#This Row],[Age]]&lt;35,"25-34",
IF(Table1[[#This Row],[Age]]&lt;45,"35-44","45+")))</f>
        <v>25-34</v>
      </c>
    </row>
    <row r="677" spans="1:15" x14ac:dyDescent="0.25">
      <c r="A677" t="s">
        <v>686</v>
      </c>
      <c r="B677" s="4">
        <v>45380</v>
      </c>
      <c r="C677" s="1">
        <v>45722</v>
      </c>
      <c r="D677">
        <v>44</v>
      </c>
      <c r="E677" t="s">
        <v>912</v>
      </c>
      <c r="F677" t="s">
        <v>918</v>
      </c>
      <c r="G677" t="s">
        <v>920</v>
      </c>
      <c r="H677">
        <v>5813.96</v>
      </c>
      <c r="I677">
        <v>1</v>
      </c>
      <c r="J677">
        <v>20</v>
      </c>
      <c r="K677" t="s">
        <v>913</v>
      </c>
      <c r="L677" t="str">
        <f>IF(ISBLANK(Table1[[#This Row],[CancelDate]]),"Active","Churned")</f>
        <v>Churned</v>
      </c>
      <c r="M677">
        <f ca="1">IF(ISBLANK(Table1[[#This Row],[CancelDate]]),DATEDIF(Table1[[#This Row],[JoinDate]],TODAY(),"M"),DATEDIF(Table1[[#This Row],[JoinDate]],Table1[[#This Row],[CancelDate]],"M"))</f>
        <v>11</v>
      </c>
      <c r="N677" t="str">
        <f>IF(Table1[[#This Row],[EngagementScore]]&lt;=40,"Low",IF(Table1[[#This Row],[EngagementScore]]&lt;=70,"Medium","High"))</f>
        <v>Low</v>
      </c>
      <c r="O677" t="str">
        <f>IF(Table1[[#This Row],[Age]]&lt;25,"18-24",
IF(Table1[[#This Row],[Age]]&lt;35,"25-34",
IF(Table1[[#This Row],[Age]]&lt;45,"35-44","45+")))</f>
        <v>35-44</v>
      </c>
    </row>
    <row r="678" spans="1:15" x14ac:dyDescent="0.25">
      <c r="A678" t="s">
        <v>687</v>
      </c>
      <c r="B678" s="4">
        <v>44964</v>
      </c>
      <c r="D678">
        <v>41</v>
      </c>
      <c r="E678" t="s">
        <v>911</v>
      </c>
      <c r="F678" t="s">
        <v>918</v>
      </c>
      <c r="G678" t="s">
        <v>921</v>
      </c>
      <c r="H678">
        <v>7933.1</v>
      </c>
      <c r="I678">
        <v>13</v>
      </c>
      <c r="J678">
        <v>56</v>
      </c>
      <c r="K678" t="s">
        <v>925</v>
      </c>
      <c r="L678" t="str">
        <f>IF(ISBLANK(Table1[[#This Row],[CancelDate]]),"Active","Churned")</f>
        <v>Active</v>
      </c>
      <c r="M678">
        <f ca="1">IF(ISBLANK(Table1[[#This Row],[CancelDate]]),DATEDIF(Table1[[#This Row],[JoinDate]],TODAY(),"M"),DATEDIF(Table1[[#This Row],[JoinDate]],Table1[[#This Row],[CancelDate]],"M"))</f>
        <v>37</v>
      </c>
      <c r="N678" t="str">
        <f>IF(Table1[[#This Row],[EngagementScore]]&lt;=40,"Low",IF(Table1[[#This Row],[EngagementScore]]&lt;=70,"Medium","High"))</f>
        <v>Medium</v>
      </c>
      <c r="O678" t="str">
        <f>IF(Table1[[#This Row],[Age]]&lt;25,"18-24",
IF(Table1[[#This Row],[Age]]&lt;35,"25-34",
IF(Table1[[#This Row],[Age]]&lt;45,"35-44","45+")))</f>
        <v>35-44</v>
      </c>
    </row>
    <row r="679" spans="1:15" x14ac:dyDescent="0.25">
      <c r="A679" t="s">
        <v>688</v>
      </c>
      <c r="B679" s="4">
        <v>45437</v>
      </c>
      <c r="C679" s="1">
        <v>45732</v>
      </c>
      <c r="D679">
        <v>19</v>
      </c>
      <c r="E679" t="s">
        <v>911</v>
      </c>
      <c r="F679" t="s">
        <v>915</v>
      </c>
      <c r="G679" t="s">
        <v>921</v>
      </c>
      <c r="H679">
        <v>4547.25</v>
      </c>
      <c r="I679">
        <v>6</v>
      </c>
      <c r="J679">
        <v>16</v>
      </c>
      <c r="K679" t="s">
        <v>925</v>
      </c>
      <c r="L679" t="str">
        <f>IF(ISBLANK(Table1[[#This Row],[CancelDate]]),"Active","Churned")</f>
        <v>Churned</v>
      </c>
      <c r="M679">
        <f ca="1">IF(ISBLANK(Table1[[#This Row],[CancelDate]]),DATEDIF(Table1[[#This Row],[JoinDate]],TODAY(),"M"),DATEDIF(Table1[[#This Row],[JoinDate]],Table1[[#This Row],[CancelDate]],"M"))</f>
        <v>9</v>
      </c>
      <c r="N679" t="str">
        <f>IF(Table1[[#This Row],[EngagementScore]]&lt;=40,"Low",IF(Table1[[#This Row],[EngagementScore]]&lt;=70,"Medium","High"))</f>
        <v>Low</v>
      </c>
      <c r="O679" t="str">
        <f>IF(Table1[[#This Row],[Age]]&lt;25,"18-24",
IF(Table1[[#This Row],[Age]]&lt;35,"25-34",
IF(Table1[[#This Row],[Age]]&lt;45,"35-44","45+")))</f>
        <v>18-24</v>
      </c>
    </row>
    <row r="680" spans="1:15" x14ac:dyDescent="0.25">
      <c r="A680" t="s">
        <v>689</v>
      </c>
      <c r="B680" s="4">
        <v>45047</v>
      </c>
      <c r="C680" s="1">
        <v>45130</v>
      </c>
      <c r="D680">
        <v>41</v>
      </c>
      <c r="E680" t="s">
        <v>911</v>
      </c>
      <c r="F680" t="s">
        <v>916</v>
      </c>
      <c r="G680" t="s">
        <v>920</v>
      </c>
      <c r="H680">
        <v>3524.38</v>
      </c>
      <c r="I680">
        <v>5</v>
      </c>
      <c r="J680">
        <v>20</v>
      </c>
      <c r="K680" t="s">
        <v>923</v>
      </c>
      <c r="L680" t="str">
        <f>IF(ISBLANK(Table1[[#This Row],[CancelDate]]),"Active","Churned")</f>
        <v>Churned</v>
      </c>
      <c r="M680">
        <f ca="1">IF(ISBLANK(Table1[[#This Row],[CancelDate]]),DATEDIF(Table1[[#This Row],[JoinDate]],TODAY(),"M"),DATEDIF(Table1[[#This Row],[JoinDate]],Table1[[#This Row],[CancelDate]],"M"))</f>
        <v>2</v>
      </c>
      <c r="N680" t="str">
        <f>IF(Table1[[#This Row],[EngagementScore]]&lt;=40,"Low",IF(Table1[[#This Row],[EngagementScore]]&lt;=70,"Medium","High"))</f>
        <v>Low</v>
      </c>
      <c r="O680" t="str">
        <f>IF(Table1[[#This Row],[Age]]&lt;25,"18-24",
IF(Table1[[#This Row],[Age]]&lt;35,"25-34",
IF(Table1[[#This Row],[Age]]&lt;45,"35-44","45+")))</f>
        <v>35-44</v>
      </c>
    </row>
    <row r="681" spans="1:15" x14ac:dyDescent="0.25">
      <c r="A681" t="s">
        <v>690</v>
      </c>
      <c r="B681" s="4">
        <v>45091</v>
      </c>
      <c r="D681">
        <v>45</v>
      </c>
      <c r="E681" t="s">
        <v>912</v>
      </c>
      <c r="F681" t="s">
        <v>919</v>
      </c>
      <c r="G681" t="s">
        <v>922</v>
      </c>
      <c r="H681">
        <v>4149.0200000000004</v>
      </c>
      <c r="I681">
        <v>2</v>
      </c>
      <c r="J681">
        <v>28</v>
      </c>
      <c r="K681" t="s">
        <v>925</v>
      </c>
      <c r="L681" t="str">
        <f>IF(ISBLANK(Table1[[#This Row],[CancelDate]]),"Active","Churned")</f>
        <v>Active</v>
      </c>
      <c r="M681">
        <f ca="1">IF(ISBLANK(Table1[[#This Row],[CancelDate]]),DATEDIF(Table1[[#This Row],[JoinDate]],TODAY(),"M"),DATEDIF(Table1[[#This Row],[JoinDate]],Table1[[#This Row],[CancelDate]],"M"))</f>
        <v>33</v>
      </c>
      <c r="N681" t="str">
        <f>IF(Table1[[#This Row],[EngagementScore]]&lt;=40,"Low",IF(Table1[[#This Row],[EngagementScore]]&lt;=70,"Medium","High"))</f>
        <v>Low</v>
      </c>
      <c r="O681" t="str">
        <f>IF(Table1[[#This Row],[Age]]&lt;25,"18-24",
IF(Table1[[#This Row],[Age]]&lt;35,"25-34",
IF(Table1[[#This Row],[Age]]&lt;45,"35-44","45+")))</f>
        <v>45+</v>
      </c>
    </row>
    <row r="682" spans="1:15" x14ac:dyDescent="0.25">
      <c r="A682" t="s">
        <v>691</v>
      </c>
      <c r="B682" s="4">
        <v>44614</v>
      </c>
      <c r="C682" s="1">
        <v>44736</v>
      </c>
      <c r="D682">
        <v>36</v>
      </c>
      <c r="E682" t="s">
        <v>912</v>
      </c>
      <c r="F682" t="s">
        <v>915</v>
      </c>
      <c r="G682" t="s">
        <v>921</v>
      </c>
      <c r="H682">
        <v>4073.42</v>
      </c>
      <c r="I682">
        <v>6</v>
      </c>
      <c r="J682">
        <v>28</v>
      </c>
      <c r="K682" t="s">
        <v>924</v>
      </c>
      <c r="L682" t="str">
        <f>IF(ISBLANK(Table1[[#This Row],[CancelDate]]),"Active","Churned")</f>
        <v>Churned</v>
      </c>
      <c r="M682">
        <f ca="1">IF(ISBLANK(Table1[[#This Row],[CancelDate]]),DATEDIF(Table1[[#This Row],[JoinDate]],TODAY(),"M"),DATEDIF(Table1[[#This Row],[JoinDate]],Table1[[#This Row],[CancelDate]],"M"))</f>
        <v>4</v>
      </c>
      <c r="N682" t="str">
        <f>IF(Table1[[#This Row],[EngagementScore]]&lt;=40,"Low",IF(Table1[[#This Row],[EngagementScore]]&lt;=70,"Medium","High"))</f>
        <v>Low</v>
      </c>
      <c r="O682" t="str">
        <f>IF(Table1[[#This Row],[Age]]&lt;25,"18-24",
IF(Table1[[#This Row],[Age]]&lt;35,"25-34",
IF(Table1[[#This Row],[Age]]&lt;45,"35-44","45+")))</f>
        <v>35-44</v>
      </c>
    </row>
    <row r="683" spans="1:15" x14ac:dyDescent="0.25">
      <c r="A683" t="s">
        <v>692</v>
      </c>
      <c r="B683" s="4">
        <v>45027</v>
      </c>
      <c r="C683" s="1">
        <v>45267</v>
      </c>
      <c r="D683">
        <v>45</v>
      </c>
      <c r="E683" t="s">
        <v>912</v>
      </c>
      <c r="F683" t="s">
        <v>915</v>
      </c>
      <c r="G683" t="s">
        <v>922</v>
      </c>
      <c r="H683">
        <v>4250.68</v>
      </c>
      <c r="I683">
        <v>6</v>
      </c>
      <c r="J683">
        <v>29</v>
      </c>
      <c r="K683" t="s">
        <v>924</v>
      </c>
      <c r="L683" t="str">
        <f>IF(ISBLANK(Table1[[#This Row],[CancelDate]]),"Active","Churned")</f>
        <v>Churned</v>
      </c>
      <c r="M683">
        <f ca="1">IF(ISBLANK(Table1[[#This Row],[CancelDate]]),DATEDIF(Table1[[#This Row],[JoinDate]],TODAY(),"M"),DATEDIF(Table1[[#This Row],[JoinDate]],Table1[[#This Row],[CancelDate]],"M"))</f>
        <v>7</v>
      </c>
      <c r="N683" t="str">
        <f>IF(Table1[[#This Row],[EngagementScore]]&lt;=40,"Low",IF(Table1[[#This Row],[EngagementScore]]&lt;=70,"Medium","High"))</f>
        <v>Low</v>
      </c>
      <c r="O683" t="str">
        <f>IF(Table1[[#This Row],[Age]]&lt;25,"18-24",
IF(Table1[[#This Row],[Age]]&lt;35,"25-34",
IF(Table1[[#This Row],[Age]]&lt;45,"35-44","45+")))</f>
        <v>45+</v>
      </c>
    </row>
    <row r="684" spans="1:15" x14ac:dyDescent="0.25">
      <c r="A684" t="s">
        <v>693</v>
      </c>
      <c r="B684" s="4">
        <v>45078</v>
      </c>
      <c r="D684">
        <v>28</v>
      </c>
      <c r="E684" t="s">
        <v>911</v>
      </c>
      <c r="F684" t="s">
        <v>917</v>
      </c>
      <c r="G684" t="s">
        <v>921</v>
      </c>
      <c r="H684">
        <v>7291.78</v>
      </c>
      <c r="I684">
        <v>7</v>
      </c>
      <c r="J684">
        <v>10</v>
      </c>
      <c r="K684" t="s">
        <v>923</v>
      </c>
      <c r="L684" t="str">
        <f>IF(ISBLANK(Table1[[#This Row],[CancelDate]]),"Active","Churned")</f>
        <v>Active</v>
      </c>
      <c r="M684">
        <f ca="1">IF(ISBLANK(Table1[[#This Row],[CancelDate]]),DATEDIF(Table1[[#This Row],[JoinDate]],TODAY(),"M"),DATEDIF(Table1[[#This Row],[JoinDate]],Table1[[#This Row],[CancelDate]],"M"))</f>
        <v>34</v>
      </c>
      <c r="N684" t="str">
        <f>IF(Table1[[#This Row],[EngagementScore]]&lt;=40,"Low",IF(Table1[[#This Row],[EngagementScore]]&lt;=70,"Medium","High"))</f>
        <v>Low</v>
      </c>
      <c r="O684" t="str">
        <f>IF(Table1[[#This Row],[Age]]&lt;25,"18-24",
IF(Table1[[#This Row],[Age]]&lt;35,"25-34",
IF(Table1[[#This Row],[Age]]&lt;45,"35-44","45+")))</f>
        <v>25-34</v>
      </c>
    </row>
    <row r="685" spans="1:15" x14ac:dyDescent="0.25">
      <c r="A685" t="s">
        <v>694</v>
      </c>
      <c r="B685" s="4">
        <v>45163</v>
      </c>
      <c r="D685">
        <v>49</v>
      </c>
      <c r="E685" t="s">
        <v>911</v>
      </c>
      <c r="F685" t="s">
        <v>918</v>
      </c>
      <c r="G685" t="s">
        <v>921</v>
      </c>
      <c r="H685">
        <v>9227.6200000000008</v>
      </c>
      <c r="I685">
        <v>6</v>
      </c>
      <c r="J685">
        <v>49</v>
      </c>
      <c r="K685" t="s">
        <v>924</v>
      </c>
      <c r="L685" t="str">
        <f>IF(ISBLANK(Table1[[#This Row],[CancelDate]]),"Active","Churned")</f>
        <v>Active</v>
      </c>
      <c r="M685">
        <f ca="1">IF(ISBLANK(Table1[[#This Row],[CancelDate]]),DATEDIF(Table1[[#This Row],[JoinDate]],TODAY(),"M"),DATEDIF(Table1[[#This Row],[JoinDate]],Table1[[#This Row],[CancelDate]],"M"))</f>
        <v>31</v>
      </c>
      <c r="N685" t="str">
        <f>IF(Table1[[#This Row],[EngagementScore]]&lt;=40,"Low",IF(Table1[[#This Row],[EngagementScore]]&lt;=70,"Medium","High"))</f>
        <v>Medium</v>
      </c>
      <c r="O685" t="str">
        <f>IF(Table1[[#This Row],[Age]]&lt;25,"18-24",
IF(Table1[[#This Row],[Age]]&lt;35,"25-34",
IF(Table1[[#This Row],[Age]]&lt;45,"35-44","45+")))</f>
        <v>45+</v>
      </c>
    </row>
    <row r="686" spans="1:15" x14ac:dyDescent="0.25">
      <c r="A686" t="s">
        <v>695</v>
      </c>
      <c r="B686" s="4">
        <v>44783</v>
      </c>
      <c r="C686" s="1">
        <v>44817</v>
      </c>
      <c r="D686">
        <v>38</v>
      </c>
      <c r="E686" t="s">
        <v>911</v>
      </c>
      <c r="F686" t="s">
        <v>918</v>
      </c>
      <c r="G686" t="s">
        <v>921</v>
      </c>
      <c r="H686">
        <v>6795.35</v>
      </c>
      <c r="I686">
        <v>1</v>
      </c>
      <c r="J686">
        <v>21</v>
      </c>
      <c r="K686" t="s">
        <v>925</v>
      </c>
      <c r="L686" t="str">
        <f>IF(ISBLANK(Table1[[#This Row],[CancelDate]]),"Active","Churned")</f>
        <v>Churned</v>
      </c>
      <c r="M686">
        <f ca="1">IF(ISBLANK(Table1[[#This Row],[CancelDate]]),DATEDIF(Table1[[#This Row],[JoinDate]],TODAY(),"M"),DATEDIF(Table1[[#This Row],[JoinDate]],Table1[[#This Row],[CancelDate]],"M"))</f>
        <v>1</v>
      </c>
      <c r="N686" t="str">
        <f>IF(Table1[[#This Row],[EngagementScore]]&lt;=40,"Low",IF(Table1[[#This Row],[EngagementScore]]&lt;=70,"Medium","High"))</f>
        <v>Low</v>
      </c>
      <c r="O686" t="str">
        <f>IF(Table1[[#This Row],[Age]]&lt;25,"18-24",
IF(Table1[[#This Row],[Age]]&lt;35,"25-34",
IF(Table1[[#This Row],[Age]]&lt;45,"35-44","45+")))</f>
        <v>35-44</v>
      </c>
    </row>
    <row r="687" spans="1:15" x14ac:dyDescent="0.25">
      <c r="A687" t="s">
        <v>696</v>
      </c>
      <c r="B687" s="4">
        <v>45405</v>
      </c>
      <c r="D687">
        <v>21</v>
      </c>
      <c r="E687" t="s">
        <v>911</v>
      </c>
      <c r="F687" t="s">
        <v>915</v>
      </c>
      <c r="G687" t="s">
        <v>921</v>
      </c>
      <c r="H687">
        <v>4047.25</v>
      </c>
      <c r="I687">
        <v>3</v>
      </c>
      <c r="J687">
        <v>38</v>
      </c>
      <c r="K687" t="s">
        <v>924</v>
      </c>
      <c r="L687" t="str">
        <f>IF(ISBLANK(Table1[[#This Row],[CancelDate]]),"Active","Churned")</f>
        <v>Active</v>
      </c>
      <c r="M687">
        <f ca="1">IF(ISBLANK(Table1[[#This Row],[CancelDate]]),DATEDIF(Table1[[#This Row],[JoinDate]],TODAY(),"M"),DATEDIF(Table1[[#This Row],[JoinDate]],Table1[[#This Row],[CancelDate]],"M"))</f>
        <v>23</v>
      </c>
      <c r="N687" t="str">
        <f>IF(Table1[[#This Row],[EngagementScore]]&lt;=40,"Low",IF(Table1[[#This Row],[EngagementScore]]&lt;=70,"Medium","High"))</f>
        <v>Low</v>
      </c>
      <c r="O687" t="str">
        <f>IF(Table1[[#This Row],[Age]]&lt;25,"18-24",
IF(Table1[[#This Row],[Age]]&lt;35,"25-34",
IF(Table1[[#This Row],[Age]]&lt;45,"35-44","45+")))</f>
        <v>18-24</v>
      </c>
    </row>
    <row r="688" spans="1:15" x14ac:dyDescent="0.25">
      <c r="A688" t="s">
        <v>697</v>
      </c>
      <c r="B688" s="4">
        <v>45175</v>
      </c>
      <c r="C688" s="1">
        <v>45416</v>
      </c>
      <c r="D688">
        <v>58</v>
      </c>
      <c r="E688" t="s">
        <v>912</v>
      </c>
      <c r="F688" t="s">
        <v>917</v>
      </c>
      <c r="G688" t="s">
        <v>921</v>
      </c>
      <c r="H688">
        <v>6472.14</v>
      </c>
      <c r="I688">
        <v>3</v>
      </c>
      <c r="J688">
        <v>36</v>
      </c>
      <c r="K688" t="s">
        <v>925</v>
      </c>
      <c r="L688" t="str">
        <f>IF(ISBLANK(Table1[[#This Row],[CancelDate]]),"Active","Churned")</f>
        <v>Churned</v>
      </c>
      <c r="M688">
        <f ca="1">IF(ISBLANK(Table1[[#This Row],[CancelDate]]),DATEDIF(Table1[[#This Row],[JoinDate]],TODAY(),"M"),DATEDIF(Table1[[#This Row],[JoinDate]],Table1[[#This Row],[CancelDate]],"M"))</f>
        <v>7</v>
      </c>
      <c r="N688" t="str">
        <f>IF(Table1[[#This Row],[EngagementScore]]&lt;=40,"Low",IF(Table1[[#This Row],[EngagementScore]]&lt;=70,"Medium","High"))</f>
        <v>Low</v>
      </c>
      <c r="O688" t="str">
        <f>IF(Table1[[#This Row],[Age]]&lt;25,"18-24",
IF(Table1[[#This Row],[Age]]&lt;35,"25-34",
IF(Table1[[#This Row],[Age]]&lt;45,"35-44","45+")))</f>
        <v>45+</v>
      </c>
    </row>
    <row r="689" spans="1:15" x14ac:dyDescent="0.25">
      <c r="A689" t="s">
        <v>698</v>
      </c>
      <c r="B689" s="4">
        <v>45328</v>
      </c>
      <c r="D689">
        <v>57</v>
      </c>
      <c r="E689" t="s">
        <v>911</v>
      </c>
      <c r="F689" t="s">
        <v>918</v>
      </c>
      <c r="G689" t="s">
        <v>921</v>
      </c>
      <c r="H689">
        <v>8753.6</v>
      </c>
      <c r="I689">
        <v>7</v>
      </c>
      <c r="J689">
        <v>46</v>
      </c>
      <c r="K689" t="s">
        <v>923</v>
      </c>
      <c r="L689" t="str">
        <f>IF(ISBLANK(Table1[[#This Row],[CancelDate]]),"Active","Churned")</f>
        <v>Active</v>
      </c>
      <c r="M689">
        <f ca="1">IF(ISBLANK(Table1[[#This Row],[CancelDate]]),DATEDIF(Table1[[#This Row],[JoinDate]],TODAY(),"M"),DATEDIF(Table1[[#This Row],[JoinDate]],Table1[[#This Row],[CancelDate]],"M"))</f>
        <v>25</v>
      </c>
      <c r="N689" t="str">
        <f>IF(Table1[[#This Row],[EngagementScore]]&lt;=40,"Low",IF(Table1[[#This Row],[EngagementScore]]&lt;=70,"Medium","High"))</f>
        <v>Medium</v>
      </c>
      <c r="O689" t="str">
        <f>IF(Table1[[#This Row],[Age]]&lt;25,"18-24",
IF(Table1[[#This Row],[Age]]&lt;35,"25-34",
IF(Table1[[#This Row],[Age]]&lt;45,"35-44","45+")))</f>
        <v>45+</v>
      </c>
    </row>
    <row r="690" spans="1:15" x14ac:dyDescent="0.25">
      <c r="A690" t="s">
        <v>699</v>
      </c>
      <c r="B690" s="4">
        <v>44785</v>
      </c>
      <c r="D690">
        <v>44</v>
      </c>
      <c r="E690" t="s">
        <v>911</v>
      </c>
      <c r="F690" t="s">
        <v>917</v>
      </c>
      <c r="G690" t="s">
        <v>922</v>
      </c>
      <c r="H690">
        <v>13030.54</v>
      </c>
      <c r="I690">
        <v>6</v>
      </c>
      <c r="J690">
        <v>64</v>
      </c>
      <c r="K690" t="s">
        <v>924</v>
      </c>
      <c r="L690" t="str">
        <f>IF(ISBLANK(Table1[[#This Row],[CancelDate]]),"Active","Churned")</f>
        <v>Active</v>
      </c>
      <c r="M690">
        <f ca="1">IF(ISBLANK(Table1[[#This Row],[CancelDate]]),DATEDIF(Table1[[#This Row],[JoinDate]],TODAY(),"M"),DATEDIF(Table1[[#This Row],[JoinDate]],Table1[[#This Row],[CancelDate]],"M"))</f>
        <v>43</v>
      </c>
      <c r="N690" t="str">
        <f>IF(Table1[[#This Row],[EngagementScore]]&lt;=40,"Low",IF(Table1[[#This Row],[EngagementScore]]&lt;=70,"Medium","High"))</f>
        <v>Medium</v>
      </c>
      <c r="O690" t="str">
        <f>IF(Table1[[#This Row],[Age]]&lt;25,"18-24",
IF(Table1[[#This Row],[Age]]&lt;35,"25-34",
IF(Table1[[#This Row],[Age]]&lt;45,"35-44","45+")))</f>
        <v>35-44</v>
      </c>
    </row>
    <row r="691" spans="1:15" x14ac:dyDescent="0.25">
      <c r="A691" t="s">
        <v>700</v>
      </c>
      <c r="B691" s="4">
        <v>45132</v>
      </c>
      <c r="D691">
        <v>50</v>
      </c>
      <c r="E691" t="s">
        <v>911</v>
      </c>
      <c r="F691" t="s">
        <v>916</v>
      </c>
      <c r="G691" t="s">
        <v>922</v>
      </c>
      <c r="H691">
        <v>5532.71</v>
      </c>
      <c r="I691">
        <v>2</v>
      </c>
      <c r="J691">
        <v>35</v>
      </c>
      <c r="K691" t="s">
        <v>923</v>
      </c>
      <c r="L691" t="str">
        <f>IF(ISBLANK(Table1[[#This Row],[CancelDate]]),"Active","Churned")</f>
        <v>Active</v>
      </c>
      <c r="M691">
        <f ca="1">IF(ISBLANK(Table1[[#This Row],[CancelDate]]),DATEDIF(Table1[[#This Row],[JoinDate]],TODAY(),"M"),DATEDIF(Table1[[#This Row],[JoinDate]],Table1[[#This Row],[CancelDate]],"M"))</f>
        <v>32</v>
      </c>
      <c r="N691" t="str">
        <f>IF(Table1[[#This Row],[EngagementScore]]&lt;=40,"Low",IF(Table1[[#This Row],[EngagementScore]]&lt;=70,"Medium","High"))</f>
        <v>Low</v>
      </c>
      <c r="O691" t="str">
        <f>IF(Table1[[#This Row],[Age]]&lt;25,"18-24",
IF(Table1[[#This Row],[Age]]&lt;35,"25-34",
IF(Table1[[#This Row],[Age]]&lt;45,"35-44","45+")))</f>
        <v>45+</v>
      </c>
    </row>
    <row r="692" spans="1:15" x14ac:dyDescent="0.25">
      <c r="A692" t="s">
        <v>701</v>
      </c>
      <c r="B692" s="4">
        <v>45077</v>
      </c>
      <c r="C692" s="1">
        <v>45398</v>
      </c>
      <c r="D692">
        <v>57</v>
      </c>
      <c r="E692" t="s">
        <v>912</v>
      </c>
      <c r="F692" t="s">
        <v>919</v>
      </c>
      <c r="G692" t="s">
        <v>921</v>
      </c>
      <c r="H692">
        <v>8069.07</v>
      </c>
      <c r="I692">
        <v>11</v>
      </c>
      <c r="J692">
        <v>63</v>
      </c>
      <c r="K692" t="s">
        <v>924</v>
      </c>
      <c r="L692" t="str">
        <f>IF(ISBLANK(Table1[[#This Row],[CancelDate]]),"Active","Churned")</f>
        <v>Churned</v>
      </c>
      <c r="M692">
        <f ca="1">IF(ISBLANK(Table1[[#This Row],[CancelDate]]),DATEDIF(Table1[[#This Row],[JoinDate]],TODAY(),"M"),DATEDIF(Table1[[#This Row],[JoinDate]],Table1[[#This Row],[CancelDate]],"M"))</f>
        <v>10</v>
      </c>
      <c r="N692" t="str">
        <f>IF(Table1[[#This Row],[EngagementScore]]&lt;=40,"Low",IF(Table1[[#This Row],[EngagementScore]]&lt;=70,"Medium","High"))</f>
        <v>Medium</v>
      </c>
      <c r="O692" t="str">
        <f>IF(Table1[[#This Row],[Age]]&lt;25,"18-24",
IF(Table1[[#This Row],[Age]]&lt;35,"25-34",
IF(Table1[[#This Row],[Age]]&lt;45,"35-44","45+")))</f>
        <v>45+</v>
      </c>
    </row>
    <row r="693" spans="1:15" x14ac:dyDescent="0.25">
      <c r="A693" t="s">
        <v>702</v>
      </c>
      <c r="B693" s="4">
        <v>45015</v>
      </c>
      <c r="D693">
        <v>31</v>
      </c>
      <c r="E693" t="s">
        <v>912</v>
      </c>
      <c r="F693" t="s">
        <v>916</v>
      </c>
      <c r="G693" t="s">
        <v>920</v>
      </c>
      <c r="H693">
        <v>16791.009999999998</v>
      </c>
      <c r="I693">
        <v>18</v>
      </c>
      <c r="J693">
        <v>71</v>
      </c>
      <c r="K693" t="s">
        <v>925</v>
      </c>
      <c r="L693" t="str">
        <f>IF(ISBLANK(Table1[[#This Row],[CancelDate]]),"Active","Churned")</f>
        <v>Active</v>
      </c>
      <c r="M693">
        <f ca="1">IF(ISBLANK(Table1[[#This Row],[CancelDate]]),DATEDIF(Table1[[#This Row],[JoinDate]],TODAY(),"M"),DATEDIF(Table1[[#This Row],[JoinDate]],Table1[[#This Row],[CancelDate]],"M"))</f>
        <v>36</v>
      </c>
      <c r="N693" t="str">
        <f>IF(Table1[[#This Row],[EngagementScore]]&lt;=40,"Low",IF(Table1[[#This Row],[EngagementScore]]&lt;=70,"Medium","High"))</f>
        <v>High</v>
      </c>
      <c r="O693" t="str">
        <f>IF(Table1[[#This Row],[Age]]&lt;25,"18-24",
IF(Table1[[#This Row],[Age]]&lt;35,"25-34",
IF(Table1[[#This Row],[Age]]&lt;45,"35-44","45+")))</f>
        <v>25-34</v>
      </c>
    </row>
    <row r="694" spans="1:15" x14ac:dyDescent="0.25">
      <c r="A694" t="s">
        <v>703</v>
      </c>
      <c r="B694" s="4">
        <v>44810</v>
      </c>
      <c r="D694">
        <v>25</v>
      </c>
      <c r="E694" t="s">
        <v>912</v>
      </c>
      <c r="F694" t="s">
        <v>916</v>
      </c>
      <c r="G694" t="s">
        <v>921</v>
      </c>
      <c r="H694">
        <v>5750.21</v>
      </c>
      <c r="I694">
        <v>5</v>
      </c>
      <c r="J694">
        <v>50</v>
      </c>
      <c r="K694" t="s">
        <v>925</v>
      </c>
      <c r="L694" t="str">
        <f>IF(ISBLANK(Table1[[#This Row],[CancelDate]]),"Active","Churned")</f>
        <v>Active</v>
      </c>
      <c r="M694">
        <f ca="1">IF(ISBLANK(Table1[[#This Row],[CancelDate]]),DATEDIF(Table1[[#This Row],[JoinDate]],TODAY(),"M"),DATEDIF(Table1[[#This Row],[JoinDate]],Table1[[#This Row],[CancelDate]],"M"))</f>
        <v>42</v>
      </c>
      <c r="N694" t="str">
        <f>IF(Table1[[#This Row],[EngagementScore]]&lt;=40,"Low",IF(Table1[[#This Row],[EngagementScore]]&lt;=70,"Medium","High"))</f>
        <v>Medium</v>
      </c>
      <c r="O694" t="str">
        <f>IF(Table1[[#This Row],[Age]]&lt;25,"18-24",
IF(Table1[[#This Row],[Age]]&lt;35,"25-34",
IF(Table1[[#This Row],[Age]]&lt;45,"35-44","45+")))</f>
        <v>25-34</v>
      </c>
    </row>
    <row r="695" spans="1:15" x14ac:dyDescent="0.25">
      <c r="A695" t="s">
        <v>704</v>
      </c>
      <c r="B695" s="4">
        <v>45305</v>
      </c>
      <c r="C695" s="1">
        <v>45439</v>
      </c>
      <c r="D695">
        <v>44</v>
      </c>
      <c r="E695" t="s">
        <v>912</v>
      </c>
      <c r="F695" t="s">
        <v>918</v>
      </c>
      <c r="G695" t="s">
        <v>922</v>
      </c>
      <c r="H695">
        <v>3610.78</v>
      </c>
      <c r="I695">
        <v>6</v>
      </c>
      <c r="J695">
        <v>24</v>
      </c>
      <c r="K695" t="s">
        <v>924</v>
      </c>
      <c r="L695" t="str">
        <f>IF(ISBLANK(Table1[[#This Row],[CancelDate]]),"Active","Churned")</f>
        <v>Churned</v>
      </c>
      <c r="M695">
        <f ca="1">IF(ISBLANK(Table1[[#This Row],[CancelDate]]),DATEDIF(Table1[[#This Row],[JoinDate]],TODAY(),"M"),DATEDIF(Table1[[#This Row],[JoinDate]],Table1[[#This Row],[CancelDate]],"M"))</f>
        <v>4</v>
      </c>
      <c r="N695" t="str">
        <f>IF(Table1[[#This Row],[EngagementScore]]&lt;=40,"Low",IF(Table1[[#This Row],[EngagementScore]]&lt;=70,"Medium","High"))</f>
        <v>Low</v>
      </c>
      <c r="O695" t="str">
        <f>IF(Table1[[#This Row],[Age]]&lt;25,"18-24",
IF(Table1[[#This Row],[Age]]&lt;35,"25-34",
IF(Table1[[#This Row],[Age]]&lt;45,"35-44","45+")))</f>
        <v>35-44</v>
      </c>
    </row>
    <row r="696" spans="1:15" x14ac:dyDescent="0.25">
      <c r="A696" t="s">
        <v>705</v>
      </c>
      <c r="B696" s="4">
        <v>44624</v>
      </c>
      <c r="D696">
        <v>42</v>
      </c>
      <c r="E696" t="s">
        <v>912</v>
      </c>
      <c r="F696" t="s">
        <v>914</v>
      </c>
      <c r="G696" t="s">
        <v>922</v>
      </c>
      <c r="H696">
        <v>3853.57</v>
      </c>
      <c r="I696">
        <v>5</v>
      </c>
      <c r="J696">
        <v>16</v>
      </c>
      <c r="K696" t="s">
        <v>924</v>
      </c>
      <c r="L696" t="str">
        <f>IF(ISBLANK(Table1[[#This Row],[CancelDate]]),"Active","Churned")</f>
        <v>Active</v>
      </c>
      <c r="M696">
        <f ca="1">IF(ISBLANK(Table1[[#This Row],[CancelDate]]),DATEDIF(Table1[[#This Row],[JoinDate]],TODAY(),"M"),DATEDIF(Table1[[#This Row],[JoinDate]],Table1[[#This Row],[CancelDate]],"M"))</f>
        <v>48</v>
      </c>
      <c r="N696" t="str">
        <f>IF(Table1[[#This Row],[EngagementScore]]&lt;=40,"Low",IF(Table1[[#This Row],[EngagementScore]]&lt;=70,"Medium","High"))</f>
        <v>Low</v>
      </c>
      <c r="O696" t="str">
        <f>IF(Table1[[#This Row],[Age]]&lt;25,"18-24",
IF(Table1[[#This Row],[Age]]&lt;35,"25-34",
IF(Table1[[#This Row],[Age]]&lt;45,"35-44","45+")))</f>
        <v>35-44</v>
      </c>
    </row>
    <row r="697" spans="1:15" x14ac:dyDescent="0.25">
      <c r="A697" t="s">
        <v>706</v>
      </c>
      <c r="B697" s="4">
        <v>44562</v>
      </c>
      <c r="C697" s="1">
        <v>44918</v>
      </c>
      <c r="D697">
        <v>45</v>
      </c>
      <c r="E697" t="s">
        <v>911</v>
      </c>
      <c r="F697" t="s">
        <v>917</v>
      </c>
      <c r="G697" t="s">
        <v>921</v>
      </c>
      <c r="H697">
        <v>2897.02</v>
      </c>
      <c r="I697">
        <v>7</v>
      </c>
      <c r="J697">
        <v>18</v>
      </c>
      <c r="K697" t="s">
        <v>923</v>
      </c>
      <c r="L697" t="str">
        <f>IF(ISBLANK(Table1[[#This Row],[CancelDate]]),"Active","Churned")</f>
        <v>Churned</v>
      </c>
      <c r="M697">
        <f ca="1">IF(ISBLANK(Table1[[#This Row],[CancelDate]]),DATEDIF(Table1[[#This Row],[JoinDate]],TODAY(),"M"),DATEDIF(Table1[[#This Row],[JoinDate]],Table1[[#This Row],[CancelDate]],"M"))</f>
        <v>11</v>
      </c>
      <c r="N697" t="str">
        <f>IF(Table1[[#This Row],[EngagementScore]]&lt;=40,"Low",IF(Table1[[#This Row],[EngagementScore]]&lt;=70,"Medium","High"))</f>
        <v>Low</v>
      </c>
      <c r="O697" t="str">
        <f>IF(Table1[[#This Row],[Age]]&lt;25,"18-24",
IF(Table1[[#This Row],[Age]]&lt;35,"25-34",
IF(Table1[[#This Row],[Age]]&lt;45,"35-44","45+")))</f>
        <v>45+</v>
      </c>
    </row>
    <row r="698" spans="1:15" x14ac:dyDescent="0.25">
      <c r="A698" t="s">
        <v>707</v>
      </c>
      <c r="B698" s="4">
        <v>45052</v>
      </c>
      <c r="D698">
        <v>35</v>
      </c>
      <c r="E698" t="s">
        <v>911</v>
      </c>
      <c r="F698" t="s">
        <v>918</v>
      </c>
      <c r="G698" t="s">
        <v>920</v>
      </c>
      <c r="H698">
        <v>6023.7</v>
      </c>
      <c r="I698">
        <v>5</v>
      </c>
      <c r="J698">
        <v>18</v>
      </c>
      <c r="K698" t="s">
        <v>923</v>
      </c>
      <c r="L698" t="str">
        <f>IF(ISBLANK(Table1[[#This Row],[CancelDate]]),"Active","Churned")</f>
        <v>Active</v>
      </c>
      <c r="M698">
        <f ca="1">IF(ISBLANK(Table1[[#This Row],[CancelDate]]),DATEDIF(Table1[[#This Row],[JoinDate]],TODAY(),"M"),DATEDIF(Table1[[#This Row],[JoinDate]],Table1[[#This Row],[CancelDate]],"M"))</f>
        <v>34</v>
      </c>
      <c r="N698" t="str">
        <f>IF(Table1[[#This Row],[EngagementScore]]&lt;=40,"Low",IF(Table1[[#This Row],[EngagementScore]]&lt;=70,"Medium","High"))</f>
        <v>Low</v>
      </c>
      <c r="O698" t="str">
        <f>IF(Table1[[#This Row],[Age]]&lt;25,"18-24",
IF(Table1[[#This Row],[Age]]&lt;35,"25-34",
IF(Table1[[#This Row],[Age]]&lt;45,"35-44","45+")))</f>
        <v>35-44</v>
      </c>
    </row>
    <row r="699" spans="1:15" x14ac:dyDescent="0.25">
      <c r="A699" t="s">
        <v>708</v>
      </c>
      <c r="B699" s="4">
        <v>44926</v>
      </c>
      <c r="C699" s="1">
        <v>45218</v>
      </c>
      <c r="D699">
        <v>47</v>
      </c>
      <c r="E699" t="s">
        <v>911</v>
      </c>
      <c r="F699" t="s">
        <v>915</v>
      </c>
      <c r="G699" t="s">
        <v>922</v>
      </c>
      <c r="H699">
        <v>7565.86</v>
      </c>
      <c r="I699">
        <v>3</v>
      </c>
      <c r="J699">
        <v>16</v>
      </c>
      <c r="K699" t="s">
        <v>925</v>
      </c>
      <c r="L699" t="str">
        <f>IF(ISBLANK(Table1[[#This Row],[CancelDate]]),"Active","Churned")</f>
        <v>Churned</v>
      </c>
      <c r="M699">
        <f ca="1">IF(ISBLANK(Table1[[#This Row],[CancelDate]]),DATEDIF(Table1[[#This Row],[JoinDate]],TODAY(),"M"),DATEDIF(Table1[[#This Row],[JoinDate]],Table1[[#This Row],[CancelDate]],"M"))</f>
        <v>9</v>
      </c>
      <c r="N699" t="str">
        <f>IF(Table1[[#This Row],[EngagementScore]]&lt;=40,"Low",IF(Table1[[#This Row],[EngagementScore]]&lt;=70,"Medium","High"))</f>
        <v>Low</v>
      </c>
      <c r="O699" t="str">
        <f>IF(Table1[[#This Row],[Age]]&lt;25,"18-24",
IF(Table1[[#This Row],[Age]]&lt;35,"25-34",
IF(Table1[[#This Row],[Age]]&lt;45,"35-44","45+")))</f>
        <v>45+</v>
      </c>
    </row>
    <row r="700" spans="1:15" x14ac:dyDescent="0.25">
      <c r="A700" t="s">
        <v>709</v>
      </c>
      <c r="B700" s="4">
        <v>44682</v>
      </c>
      <c r="D700">
        <v>47</v>
      </c>
      <c r="E700" t="s">
        <v>912</v>
      </c>
      <c r="F700" t="s">
        <v>915</v>
      </c>
      <c r="G700" t="s">
        <v>921</v>
      </c>
      <c r="H700">
        <v>7862.4</v>
      </c>
      <c r="I700">
        <v>3</v>
      </c>
      <c r="J700">
        <v>16</v>
      </c>
      <c r="K700" t="s">
        <v>925</v>
      </c>
      <c r="L700" t="str">
        <f>IF(ISBLANK(Table1[[#This Row],[CancelDate]]),"Active","Churned")</f>
        <v>Active</v>
      </c>
      <c r="M700">
        <f ca="1">IF(ISBLANK(Table1[[#This Row],[CancelDate]]),DATEDIF(Table1[[#This Row],[JoinDate]],TODAY(),"M"),DATEDIF(Table1[[#This Row],[JoinDate]],Table1[[#This Row],[CancelDate]],"M"))</f>
        <v>47</v>
      </c>
      <c r="N700" t="str">
        <f>IF(Table1[[#This Row],[EngagementScore]]&lt;=40,"Low",IF(Table1[[#This Row],[EngagementScore]]&lt;=70,"Medium","High"))</f>
        <v>Low</v>
      </c>
      <c r="O700" t="str">
        <f>IF(Table1[[#This Row],[Age]]&lt;25,"18-24",
IF(Table1[[#This Row],[Age]]&lt;35,"25-34",
IF(Table1[[#This Row],[Age]]&lt;45,"35-44","45+")))</f>
        <v>45+</v>
      </c>
    </row>
    <row r="701" spans="1:15" x14ac:dyDescent="0.25">
      <c r="A701" t="s">
        <v>710</v>
      </c>
      <c r="B701" s="4">
        <v>44641</v>
      </c>
      <c r="C701" s="1">
        <v>44869</v>
      </c>
      <c r="D701">
        <v>39</v>
      </c>
      <c r="E701" t="s">
        <v>911</v>
      </c>
      <c r="F701" t="s">
        <v>914</v>
      </c>
      <c r="G701" t="s">
        <v>921</v>
      </c>
      <c r="H701">
        <v>8360.73</v>
      </c>
      <c r="I701">
        <v>5</v>
      </c>
      <c r="J701">
        <v>49</v>
      </c>
      <c r="K701" t="s">
        <v>924</v>
      </c>
      <c r="L701" t="str">
        <f>IF(ISBLANK(Table1[[#This Row],[CancelDate]]),"Active","Churned")</f>
        <v>Churned</v>
      </c>
      <c r="M701">
        <f ca="1">IF(ISBLANK(Table1[[#This Row],[CancelDate]]),DATEDIF(Table1[[#This Row],[JoinDate]],TODAY(),"M"),DATEDIF(Table1[[#This Row],[JoinDate]],Table1[[#This Row],[CancelDate]],"M"))</f>
        <v>7</v>
      </c>
      <c r="N701" t="str">
        <f>IF(Table1[[#This Row],[EngagementScore]]&lt;=40,"Low",IF(Table1[[#This Row],[EngagementScore]]&lt;=70,"Medium","High"))</f>
        <v>Medium</v>
      </c>
      <c r="O701" t="str">
        <f>IF(Table1[[#This Row],[Age]]&lt;25,"18-24",
IF(Table1[[#This Row],[Age]]&lt;35,"25-34",
IF(Table1[[#This Row],[Age]]&lt;45,"35-44","45+")))</f>
        <v>35-44</v>
      </c>
    </row>
    <row r="702" spans="1:15" x14ac:dyDescent="0.25">
      <c r="A702" t="s">
        <v>711</v>
      </c>
      <c r="B702" s="4">
        <v>45006</v>
      </c>
      <c r="D702">
        <v>29</v>
      </c>
      <c r="E702" t="s">
        <v>913</v>
      </c>
      <c r="F702" t="s">
        <v>917</v>
      </c>
      <c r="G702" t="s">
        <v>922</v>
      </c>
      <c r="H702">
        <v>14198.62</v>
      </c>
      <c r="I702">
        <v>5</v>
      </c>
      <c r="J702">
        <v>49</v>
      </c>
      <c r="K702" t="s">
        <v>924</v>
      </c>
      <c r="L702" t="str">
        <f>IF(ISBLANK(Table1[[#This Row],[CancelDate]]),"Active","Churned")</f>
        <v>Active</v>
      </c>
      <c r="M702">
        <f ca="1">IF(ISBLANK(Table1[[#This Row],[CancelDate]]),DATEDIF(Table1[[#This Row],[JoinDate]],TODAY(),"M"),DATEDIF(Table1[[#This Row],[JoinDate]],Table1[[#This Row],[CancelDate]],"M"))</f>
        <v>36</v>
      </c>
      <c r="N702" t="str">
        <f>IF(Table1[[#This Row],[EngagementScore]]&lt;=40,"Low",IF(Table1[[#This Row],[EngagementScore]]&lt;=70,"Medium","High"))</f>
        <v>Medium</v>
      </c>
      <c r="O702" t="str">
        <f>IF(Table1[[#This Row],[Age]]&lt;25,"18-24",
IF(Table1[[#This Row],[Age]]&lt;35,"25-34",
IF(Table1[[#This Row],[Age]]&lt;45,"35-44","45+")))</f>
        <v>25-34</v>
      </c>
    </row>
    <row r="703" spans="1:15" x14ac:dyDescent="0.25">
      <c r="A703" t="s">
        <v>712</v>
      </c>
      <c r="B703" s="4">
        <v>45319</v>
      </c>
      <c r="D703">
        <v>52</v>
      </c>
      <c r="E703" t="s">
        <v>912</v>
      </c>
      <c r="F703" t="s">
        <v>917</v>
      </c>
      <c r="G703" t="s">
        <v>921</v>
      </c>
      <c r="H703">
        <v>4404.22</v>
      </c>
      <c r="I703">
        <v>4</v>
      </c>
      <c r="J703">
        <v>15</v>
      </c>
      <c r="K703" t="s">
        <v>925</v>
      </c>
      <c r="L703" t="str">
        <f>IF(ISBLANK(Table1[[#This Row],[CancelDate]]),"Active","Churned")</f>
        <v>Active</v>
      </c>
      <c r="M703">
        <f ca="1">IF(ISBLANK(Table1[[#This Row],[CancelDate]]),DATEDIF(Table1[[#This Row],[JoinDate]],TODAY(),"M"),DATEDIF(Table1[[#This Row],[JoinDate]],Table1[[#This Row],[CancelDate]],"M"))</f>
        <v>26</v>
      </c>
      <c r="N703" t="str">
        <f>IF(Table1[[#This Row],[EngagementScore]]&lt;=40,"Low",IF(Table1[[#This Row],[EngagementScore]]&lt;=70,"Medium","High"))</f>
        <v>Low</v>
      </c>
      <c r="O703" t="str">
        <f>IF(Table1[[#This Row],[Age]]&lt;25,"18-24",
IF(Table1[[#This Row],[Age]]&lt;35,"25-34",
IF(Table1[[#This Row],[Age]]&lt;45,"35-44","45+")))</f>
        <v>45+</v>
      </c>
    </row>
    <row r="704" spans="1:15" x14ac:dyDescent="0.25">
      <c r="A704" t="s">
        <v>713</v>
      </c>
      <c r="B704" s="4">
        <v>44662</v>
      </c>
      <c r="C704" s="1">
        <v>44832</v>
      </c>
      <c r="D704">
        <v>24</v>
      </c>
      <c r="E704" t="s">
        <v>912</v>
      </c>
      <c r="F704" t="s">
        <v>916</v>
      </c>
      <c r="G704" t="s">
        <v>921</v>
      </c>
      <c r="H704">
        <v>12031.48</v>
      </c>
      <c r="I704">
        <v>13</v>
      </c>
      <c r="J704">
        <v>59</v>
      </c>
      <c r="K704" t="s">
        <v>923</v>
      </c>
      <c r="L704" t="str">
        <f>IF(ISBLANK(Table1[[#This Row],[CancelDate]]),"Active","Churned")</f>
        <v>Churned</v>
      </c>
      <c r="M704">
        <f ca="1">IF(ISBLANK(Table1[[#This Row],[CancelDate]]),DATEDIF(Table1[[#This Row],[JoinDate]],TODAY(),"M"),DATEDIF(Table1[[#This Row],[JoinDate]],Table1[[#This Row],[CancelDate]],"M"))</f>
        <v>5</v>
      </c>
      <c r="N704" t="str">
        <f>IF(Table1[[#This Row],[EngagementScore]]&lt;=40,"Low",IF(Table1[[#This Row],[EngagementScore]]&lt;=70,"Medium","High"))</f>
        <v>Medium</v>
      </c>
      <c r="O704" t="str">
        <f>IF(Table1[[#This Row],[Age]]&lt;25,"18-24",
IF(Table1[[#This Row],[Age]]&lt;35,"25-34",
IF(Table1[[#This Row],[Age]]&lt;45,"35-44","45+")))</f>
        <v>18-24</v>
      </c>
    </row>
    <row r="705" spans="1:15" x14ac:dyDescent="0.25">
      <c r="A705" t="s">
        <v>714</v>
      </c>
      <c r="B705" s="4">
        <v>44606</v>
      </c>
      <c r="C705" s="1">
        <v>44743</v>
      </c>
      <c r="D705">
        <v>23</v>
      </c>
      <c r="E705" t="s">
        <v>912</v>
      </c>
      <c r="F705" t="s">
        <v>915</v>
      </c>
      <c r="G705" t="s">
        <v>921</v>
      </c>
      <c r="H705">
        <v>11836.97</v>
      </c>
      <c r="I705">
        <v>7</v>
      </c>
      <c r="J705">
        <v>53</v>
      </c>
      <c r="K705" t="s">
        <v>923</v>
      </c>
      <c r="L705" t="str">
        <f>IF(ISBLANK(Table1[[#This Row],[CancelDate]]),"Active","Churned")</f>
        <v>Churned</v>
      </c>
      <c r="M705">
        <f ca="1">IF(ISBLANK(Table1[[#This Row],[CancelDate]]),DATEDIF(Table1[[#This Row],[JoinDate]],TODAY(),"M"),DATEDIF(Table1[[#This Row],[JoinDate]],Table1[[#This Row],[CancelDate]],"M"))</f>
        <v>4</v>
      </c>
      <c r="N705" t="str">
        <f>IF(Table1[[#This Row],[EngagementScore]]&lt;=40,"Low",IF(Table1[[#This Row],[EngagementScore]]&lt;=70,"Medium","High"))</f>
        <v>Medium</v>
      </c>
      <c r="O705" t="str">
        <f>IF(Table1[[#This Row],[Age]]&lt;25,"18-24",
IF(Table1[[#This Row],[Age]]&lt;35,"25-34",
IF(Table1[[#This Row],[Age]]&lt;45,"35-44","45+")))</f>
        <v>18-24</v>
      </c>
    </row>
    <row r="706" spans="1:15" x14ac:dyDescent="0.25">
      <c r="A706" t="s">
        <v>715</v>
      </c>
      <c r="B706" s="4">
        <v>45215</v>
      </c>
      <c r="D706">
        <v>27</v>
      </c>
      <c r="E706" t="s">
        <v>911</v>
      </c>
      <c r="F706" t="s">
        <v>914</v>
      </c>
      <c r="G706" t="s">
        <v>920</v>
      </c>
      <c r="H706">
        <v>2905.46</v>
      </c>
      <c r="I706">
        <v>4</v>
      </c>
      <c r="J706">
        <v>33</v>
      </c>
      <c r="K706" t="s">
        <v>923</v>
      </c>
      <c r="L706" t="str">
        <f>IF(ISBLANK(Table1[[#This Row],[CancelDate]]),"Active","Churned")</f>
        <v>Active</v>
      </c>
      <c r="M706">
        <f ca="1">IF(ISBLANK(Table1[[#This Row],[CancelDate]]),DATEDIF(Table1[[#This Row],[JoinDate]],TODAY(),"M"),DATEDIF(Table1[[#This Row],[JoinDate]],Table1[[#This Row],[CancelDate]],"M"))</f>
        <v>29</v>
      </c>
      <c r="N706" t="str">
        <f>IF(Table1[[#This Row],[EngagementScore]]&lt;=40,"Low",IF(Table1[[#This Row],[EngagementScore]]&lt;=70,"Medium","High"))</f>
        <v>Low</v>
      </c>
      <c r="O706" t="str">
        <f>IF(Table1[[#This Row],[Age]]&lt;25,"18-24",
IF(Table1[[#This Row],[Age]]&lt;35,"25-34",
IF(Table1[[#This Row],[Age]]&lt;45,"35-44","45+")))</f>
        <v>25-34</v>
      </c>
    </row>
    <row r="707" spans="1:15" x14ac:dyDescent="0.25">
      <c r="A707" t="s">
        <v>716</v>
      </c>
      <c r="B707" s="4">
        <v>45170</v>
      </c>
      <c r="D707">
        <v>28</v>
      </c>
      <c r="E707" t="s">
        <v>912</v>
      </c>
      <c r="F707" t="s">
        <v>919</v>
      </c>
      <c r="G707" t="s">
        <v>921</v>
      </c>
      <c r="H707">
        <v>24740.37</v>
      </c>
      <c r="I707">
        <v>21</v>
      </c>
      <c r="J707">
        <v>88</v>
      </c>
      <c r="K707" t="s">
        <v>923</v>
      </c>
      <c r="L707" t="str">
        <f>IF(ISBLANK(Table1[[#This Row],[CancelDate]]),"Active","Churned")</f>
        <v>Active</v>
      </c>
      <c r="M707">
        <f ca="1">IF(ISBLANK(Table1[[#This Row],[CancelDate]]),DATEDIF(Table1[[#This Row],[JoinDate]],TODAY(),"M"),DATEDIF(Table1[[#This Row],[JoinDate]],Table1[[#This Row],[CancelDate]],"M"))</f>
        <v>31</v>
      </c>
      <c r="N707" t="str">
        <f>IF(Table1[[#This Row],[EngagementScore]]&lt;=40,"Low",IF(Table1[[#This Row],[EngagementScore]]&lt;=70,"Medium","High"))</f>
        <v>High</v>
      </c>
      <c r="O707" t="str">
        <f>IF(Table1[[#This Row],[Age]]&lt;25,"18-24",
IF(Table1[[#This Row],[Age]]&lt;35,"25-34",
IF(Table1[[#This Row],[Age]]&lt;45,"35-44","45+")))</f>
        <v>25-34</v>
      </c>
    </row>
    <row r="708" spans="1:15" x14ac:dyDescent="0.25">
      <c r="A708" t="s">
        <v>717</v>
      </c>
      <c r="B708" s="4">
        <v>44678</v>
      </c>
      <c r="C708" s="1">
        <v>44887</v>
      </c>
      <c r="D708">
        <v>31</v>
      </c>
      <c r="E708" t="s">
        <v>911</v>
      </c>
      <c r="F708" t="s">
        <v>917</v>
      </c>
      <c r="G708" t="s">
        <v>921</v>
      </c>
      <c r="H708">
        <v>28094.83</v>
      </c>
      <c r="I708">
        <v>19</v>
      </c>
      <c r="J708">
        <v>96</v>
      </c>
      <c r="K708" t="s">
        <v>923</v>
      </c>
      <c r="L708" t="str">
        <f>IF(ISBLANK(Table1[[#This Row],[CancelDate]]),"Active","Churned")</f>
        <v>Churned</v>
      </c>
      <c r="M708">
        <f ca="1">IF(ISBLANK(Table1[[#This Row],[CancelDate]]),DATEDIF(Table1[[#This Row],[JoinDate]],TODAY(),"M"),DATEDIF(Table1[[#This Row],[JoinDate]],Table1[[#This Row],[CancelDate]],"M"))</f>
        <v>6</v>
      </c>
      <c r="N708" t="str">
        <f>IF(Table1[[#This Row],[EngagementScore]]&lt;=40,"Low",IF(Table1[[#This Row],[EngagementScore]]&lt;=70,"Medium","High"))</f>
        <v>High</v>
      </c>
      <c r="O708" t="str">
        <f>IF(Table1[[#This Row],[Age]]&lt;25,"18-24",
IF(Table1[[#This Row],[Age]]&lt;35,"25-34",
IF(Table1[[#This Row],[Age]]&lt;45,"35-44","45+")))</f>
        <v>25-34</v>
      </c>
    </row>
    <row r="709" spans="1:15" x14ac:dyDescent="0.25">
      <c r="A709" t="s">
        <v>718</v>
      </c>
      <c r="B709" s="4">
        <v>45129</v>
      </c>
      <c r="C709" s="1">
        <v>45489</v>
      </c>
      <c r="D709">
        <v>19</v>
      </c>
      <c r="E709" t="s">
        <v>912</v>
      </c>
      <c r="F709" t="s">
        <v>919</v>
      </c>
      <c r="G709" t="s">
        <v>920</v>
      </c>
      <c r="H709">
        <v>7808.98</v>
      </c>
      <c r="I709">
        <v>6</v>
      </c>
      <c r="J709">
        <v>38</v>
      </c>
      <c r="K709" t="s">
        <v>925</v>
      </c>
      <c r="L709" t="str">
        <f>IF(ISBLANK(Table1[[#This Row],[CancelDate]]),"Active","Churned")</f>
        <v>Churned</v>
      </c>
      <c r="M709">
        <f ca="1">IF(ISBLANK(Table1[[#This Row],[CancelDate]]),DATEDIF(Table1[[#This Row],[JoinDate]],TODAY(),"M"),DATEDIF(Table1[[#This Row],[JoinDate]],Table1[[#This Row],[CancelDate]],"M"))</f>
        <v>11</v>
      </c>
      <c r="N709" t="str">
        <f>IF(Table1[[#This Row],[EngagementScore]]&lt;=40,"Low",IF(Table1[[#This Row],[EngagementScore]]&lt;=70,"Medium","High"))</f>
        <v>Low</v>
      </c>
      <c r="O709" t="str">
        <f>IF(Table1[[#This Row],[Age]]&lt;25,"18-24",
IF(Table1[[#This Row],[Age]]&lt;35,"25-34",
IF(Table1[[#This Row],[Age]]&lt;45,"35-44","45+")))</f>
        <v>18-24</v>
      </c>
    </row>
    <row r="710" spans="1:15" x14ac:dyDescent="0.25">
      <c r="A710" t="s">
        <v>719</v>
      </c>
      <c r="B710" s="4">
        <v>45042</v>
      </c>
      <c r="D710">
        <v>53</v>
      </c>
      <c r="E710" t="s">
        <v>911</v>
      </c>
      <c r="F710" t="s">
        <v>917</v>
      </c>
      <c r="G710" t="s">
        <v>921</v>
      </c>
      <c r="H710">
        <v>13550.77</v>
      </c>
      <c r="I710">
        <v>13</v>
      </c>
      <c r="J710">
        <v>57</v>
      </c>
      <c r="K710" t="s">
        <v>925</v>
      </c>
      <c r="L710" t="str">
        <f>IF(ISBLANK(Table1[[#This Row],[CancelDate]]),"Active","Churned")</f>
        <v>Active</v>
      </c>
      <c r="M710">
        <f ca="1">IF(ISBLANK(Table1[[#This Row],[CancelDate]]),DATEDIF(Table1[[#This Row],[JoinDate]],TODAY(),"M"),DATEDIF(Table1[[#This Row],[JoinDate]],Table1[[#This Row],[CancelDate]],"M"))</f>
        <v>35</v>
      </c>
      <c r="N710" t="str">
        <f>IF(Table1[[#This Row],[EngagementScore]]&lt;=40,"Low",IF(Table1[[#This Row],[EngagementScore]]&lt;=70,"Medium","High"))</f>
        <v>Medium</v>
      </c>
      <c r="O710" t="str">
        <f>IF(Table1[[#This Row],[Age]]&lt;25,"18-24",
IF(Table1[[#This Row],[Age]]&lt;35,"25-34",
IF(Table1[[#This Row],[Age]]&lt;45,"35-44","45+")))</f>
        <v>45+</v>
      </c>
    </row>
    <row r="711" spans="1:15" x14ac:dyDescent="0.25">
      <c r="A711" t="s">
        <v>720</v>
      </c>
      <c r="B711" s="4">
        <v>45256</v>
      </c>
      <c r="C711" s="1">
        <v>45305</v>
      </c>
      <c r="D711">
        <v>23</v>
      </c>
      <c r="E711" t="s">
        <v>911</v>
      </c>
      <c r="F711" t="s">
        <v>915</v>
      </c>
      <c r="G711" t="s">
        <v>921</v>
      </c>
      <c r="H711">
        <v>5273.35</v>
      </c>
      <c r="I711">
        <v>6</v>
      </c>
      <c r="J711">
        <v>27</v>
      </c>
      <c r="K711" t="s">
        <v>925</v>
      </c>
      <c r="L711" t="str">
        <f>IF(ISBLANK(Table1[[#This Row],[CancelDate]]),"Active","Churned")</f>
        <v>Churned</v>
      </c>
      <c r="M711">
        <f ca="1">IF(ISBLANK(Table1[[#This Row],[CancelDate]]),DATEDIF(Table1[[#This Row],[JoinDate]],TODAY(),"M"),DATEDIF(Table1[[#This Row],[JoinDate]],Table1[[#This Row],[CancelDate]],"M"))</f>
        <v>1</v>
      </c>
      <c r="N711" t="str">
        <f>IF(Table1[[#This Row],[EngagementScore]]&lt;=40,"Low",IF(Table1[[#This Row],[EngagementScore]]&lt;=70,"Medium","High"))</f>
        <v>Low</v>
      </c>
      <c r="O711" t="str">
        <f>IF(Table1[[#This Row],[Age]]&lt;25,"18-24",
IF(Table1[[#This Row],[Age]]&lt;35,"25-34",
IF(Table1[[#This Row],[Age]]&lt;45,"35-44","45+")))</f>
        <v>18-24</v>
      </c>
    </row>
    <row r="712" spans="1:15" x14ac:dyDescent="0.25">
      <c r="A712" t="s">
        <v>721</v>
      </c>
      <c r="B712" s="4">
        <v>44893</v>
      </c>
      <c r="C712" s="1">
        <v>45028</v>
      </c>
      <c r="D712">
        <v>22</v>
      </c>
      <c r="E712" t="s">
        <v>912</v>
      </c>
      <c r="F712" t="s">
        <v>914</v>
      </c>
      <c r="G712" t="s">
        <v>922</v>
      </c>
      <c r="H712">
        <v>3055.4</v>
      </c>
      <c r="I712">
        <v>3</v>
      </c>
      <c r="J712">
        <v>19</v>
      </c>
      <c r="K712" t="s">
        <v>925</v>
      </c>
      <c r="L712" t="str">
        <f>IF(ISBLANK(Table1[[#This Row],[CancelDate]]),"Active","Churned")</f>
        <v>Churned</v>
      </c>
      <c r="M712">
        <f ca="1">IF(ISBLANK(Table1[[#This Row],[CancelDate]]),DATEDIF(Table1[[#This Row],[JoinDate]],TODAY(),"M"),DATEDIF(Table1[[#This Row],[JoinDate]],Table1[[#This Row],[CancelDate]],"M"))</f>
        <v>4</v>
      </c>
      <c r="N712" t="str">
        <f>IF(Table1[[#This Row],[EngagementScore]]&lt;=40,"Low",IF(Table1[[#This Row],[EngagementScore]]&lt;=70,"Medium","High"))</f>
        <v>Low</v>
      </c>
      <c r="O712" t="str">
        <f>IF(Table1[[#This Row],[Age]]&lt;25,"18-24",
IF(Table1[[#This Row],[Age]]&lt;35,"25-34",
IF(Table1[[#This Row],[Age]]&lt;45,"35-44","45+")))</f>
        <v>18-24</v>
      </c>
    </row>
    <row r="713" spans="1:15" x14ac:dyDescent="0.25">
      <c r="A713" t="s">
        <v>722</v>
      </c>
      <c r="B713" s="4">
        <v>44797</v>
      </c>
      <c r="C713" s="1">
        <v>45067</v>
      </c>
      <c r="D713">
        <v>29</v>
      </c>
      <c r="E713" t="s">
        <v>912</v>
      </c>
      <c r="F713" t="s">
        <v>915</v>
      </c>
      <c r="G713" t="s">
        <v>921</v>
      </c>
      <c r="H713">
        <v>5900.59</v>
      </c>
      <c r="I713">
        <v>5</v>
      </c>
      <c r="J713">
        <v>23</v>
      </c>
      <c r="K713" t="s">
        <v>925</v>
      </c>
      <c r="L713" t="str">
        <f>IF(ISBLANK(Table1[[#This Row],[CancelDate]]),"Active","Churned")</f>
        <v>Churned</v>
      </c>
      <c r="M713">
        <f ca="1">IF(ISBLANK(Table1[[#This Row],[CancelDate]]),DATEDIF(Table1[[#This Row],[JoinDate]],TODAY(),"M"),DATEDIF(Table1[[#This Row],[JoinDate]],Table1[[#This Row],[CancelDate]],"M"))</f>
        <v>8</v>
      </c>
      <c r="N713" t="str">
        <f>IF(Table1[[#This Row],[EngagementScore]]&lt;=40,"Low",IF(Table1[[#This Row],[EngagementScore]]&lt;=70,"Medium","High"))</f>
        <v>Low</v>
      </c>
      <c r="O713" t="str">
        <f>IF(Table1[[#This Row],[Age]]&lt;25,"18-24",
IF(Table1[[#This Row],[Age]]&lt;35,"25-34",
IF(Table1[[#This Row],[Age]]&lt;45,"35-44","45+")))</f>
        <v>25-34</v>
      </c>
    </row>
    <row r="714" spans="1:15" x14ac:dyDescent="0.25">
      <c r="A714" t="s">
        <v>723</v>
      </c>
      <c r="B714" s="4">
        <v>44755</v>
      </c>
      <c r="C714" s="1">
        <v>44876</v>
      </c>
      <c r="D714">
        <v>36</v>
      </c>
      <c r="E714" t="s">
        <v>911</v>
      </c>
      <c r="F714" t="s">
        <v>915</v>
      </c>
      <c r="G714" t="s">
        <v>922</v>
      </c>
      <c r="H714">
        <v>3139.71</v>
      </c>
      <c r="I714">
        <v>4</v>
      </c>
      <c r="J714">
        <v>19</v>
      </c>
      <c r="K714" t="s">
        <v>913</v>
      </c>
      <c r="L714" t="str">
        <f>IF(ISBLANK(Table1[[#This Row],[CancelDate]]),"Active","Churned")</f>
        <v>Churned</v>
      </c>
      <c r="M714">
        <f ca="1">IF(ISBLANK(Table1[[#This Row],[CancelDate]]),DATEDIF(Table1[[#This Row],[JoinDate]],TODAY(),"M"),DATEDIF(Table1[[#This Row],[JoinDate]],Table1[[#This Row],[CancelDate]],"M"))</f>
        <v>3</v>
      </c>
      <c r="N714" t="str">
        <f>IF(Table1[[#This Row],[EngagementScore]]&lt;=40,"Low",IF(Table1[[#This Row],[EngagementScore]]&lt;=70,"Medium","High"))</f>
        <v>Low</v>
      </c>
      <c r="O714" t="str">
        <f>IF(Table1[[#This Row],[Age]]&lt;25,"18-24",
IF(Table1[[#This Row],[Age]]&lt;35,"25-34",
IF(Table1[[#This Row],[Age]]&lt;45,"35-44","45+")))</f>
        <v>35-44</v>
      </c>
    </row>
    <row r="715" spans="1:15" x14ac:dyDescent="0.25">
      <c r="A715" t="s">
        <v>724</v>
      </c>
      <c r="B715" s="4">
        <v>44914</v>
      </c>
      <c r="D715">
        <v>27</v>
      </c>
      <c r="E715" t="s">
        <v>912</v>
      </c>
      <c r="F715" t="s">
        <v>919</v>
      </c>
      <c r="G715" t="s">
        <v>922</v>
      </c>
      <c r="H715">
        <v>14287.05</v>
      </c>
      <c r="I715">
        <v>11</v>
      </c>
      <c r="J715">
        <v>48</v>
      </c>
      <c r="K715" t="s">
        <v>924</v>
      </c>
      <c r="L715" t="str">
        <f>IF(ISBLANK(Table1[[#This Row],[CancelDate]]),"Active","Churned")</f>
        <v>Active</v>
      </c>
      <c r="M715">
        <f ca="1">IF(ISBLANK(Table1[[#This Row],[CancelDate]]),DATEDIF(Table1[[#This Row],[JoinDate]],TODAY(),"M"),DATEDIF(Table1[[#This Row],[JoinDate]],Table1[[#This Row],[CancelDate]],"M"))</f>
        <v>39</v>
      </c>
      <c r="N715" t="str">
        <f>IF(Table1[[#This Row],[EngagementScore]]&lt;=40,"Low",IF(Table1[[#This Row],[EngagementScore]]&lt;=70,"Medium","High"))</f>
        <v>Medium</v>
      </c>
      <c r="O715" t="str">
        <f>IF(Table1[[#This Row],[Age]]&lt;25,"18-24",
IF(Table1[[#This Row],[Age]]&lt;35,"25-34",
IF(Table1[[#This Row],[Age]]&lt;45,"35-44","45+")))</f>
        <v>25-34</v>
      </c>
    </row>
    <row r="716" spans="1:15" x14ac:dyDescent="0.25">
      <c r="A716" t="s">
        <v>725</v>
      </c>
      <c r="B716" s="4">
        <v>45305</v>
      </c>
      <c r="D716">
        <v>22</v>
      </c>
      <c r="E716" t="s">
        <v>912</v>
      </c>
      <c r="F716" t="s">
        <v>917</v>
      </c>
      <c r="G716" t="s">
        <v>921</v>
      </c>
      <c r="H716">
        <v>25681.61</v>
      </c>
      <c r="I716">
        <v>28</v>
      </c>
      <c r="J716">
        <v>81</v>
      </c>
      <c r="K716" t="s">
        <v>923</v>
      </c>
      <c r="L716" t="str">
        <f>IF(ISBLANK(Table1[[#This Row],[CancelDate]]),"Active","Churned")</f>
        <v>Active</v>
      </c>
      <c r="M716">
        <f ca="1">IF(ISBLANK(Table1[[#This Row],[CancelDate]]),DATEDIF(Table1[[#This Row],[JoinDate]],TODAY(),"M"),DATEDIF(Table1[[#This Row],[JoinDate]],Table1[[#This Row],[CancelDate]],"M"))</f>
        <v>26</v>
      </c>
      <c r="N716" t="str">
        <f>IF(Table1[[#This Row],[EngagementScore]]&lt;=40,"Low",IF(Table1[[#This Row],[EngagementScore]]&lt;=70,"Medium","High"))</f>
        <v>High</v>
      </c>
      <c r="O716" t="str">
        <f>IF(Table1[[#This Row],[Age]]&lt;25,"18-24",
IF(Table1[[#This Row],[Age]]&lt;35,"25-34",
IF(Table1[[#This Row],[Age]]&lt;45,"35-44","45+")))</f>
        <v>18-24</v>
      </c>
    </row>
    <row r="717" spans="1:15" x14ac:dyDescent="0.25">
      <c r="A717" t="s">
        <v>726</v>
      </c>
      <c r="B717" s="4">
        <v>44952</v>
      </c>
      <c r="D717">
        <v>45</v>
      </c>
      <c r="E717" t="s">
        <v>911</v>
      </c>
      <c r="F717" t="s">
        <v>917</v>
      </c>
      <c r="G717" t="s">
        <v>921</v>
      </c>
      <c r="H717">
        <v>21756.1</v>
      </c>
      <c r="I717">
        <v>22</v>
      </c>
      <c r="J717">
        <v>98</v>
      </c>
      <c r="K717" t="s">
        <v>925</v>
      </c>
      <c r="L717" t="str">
        <f>IF(ISBLANK(Table1[[#This Row],[CancelDate]]),"Active","Churned")</f>
        <v>Active</v>
      </c>
      <c r="M717">
        <f ca="1">IF(ISBLANK(Table1[[#This Row],[CancelDate]]),DATEDIF(Table1[[#This Row],[JoinDate]],TODAY(),"M"),DATEDIF(Table1[[#This Row],[JoinDate]],Table1[[#This Row],[CancelDate]],"M"))</f>
        <v>38</v>
      </c>
      <c r="N717" t="str">
        <f>IF(Table1[[#This Row],[EngagementScore]]&lt;=40,"Low",IF(Table1[[#This Row],[EngagementScore]]&lt;=70,"Medium","High"))</f>
        <v>High</v>
      </c>
      <c r="O717" t="str">
        <f>IF(Table1[[#This Row],[Age]]&lt;25,"18-24",
IF(Table1[[#This Row],[Age]]&lt;35,"25-34",
IF(Table1[[#This Row],[Age]]&lt;45,"35-44","45+")))</f>
        <v>45+</v>
      </c>
    </row>
    <row r="718" spans="1:15" x14ac:dyDescent="0.25">
      <c r="A718" t="s">
        <v>727</v>
      </c>
      <c r="B718" s="4">
        <v>44866</v>
      </c>
      <c r="D718">
        <v>43</v>
      </c>
      <c r="E718" t="s">
        <v>912</v>
      </c>
      <c r="F718" t="s">
        <v>918</v>
      </c>
      <c r="G718" t="s">
        <v>922</v>
      </c>
      <c r="H718">
        <v>11944.4</v>
      </c>
      <c r="I718">
        <v>14</v>
      </c>
      <c r="J718">
        <v>54</v>
      </c>
      <c r="K718" t="s">
        <v>923</v>
      </c>
      <c r="L718" t="str">
        <f>IF(ISBLANK(Table1[[#This Row],[CancelDate]]),"Active","Churned")</f>
        <v>Active</v>
      </c>
      <c r="M718">
        <f ca="1">IF(ISBLANK(Table1[[#This Row],[CancelDate]]),DATEDIF(Table1[[#This Row],[JoinDate]],TODAY(),"M"),DATEDIF(Table1[[#This Row],[JoinDate]],Table1[[#This Row],[CancelDate]],"M"))</f>
        <v>41</v>
      </c>
      <c r="N718" t="str">
        <f>IF(Table1[[#This Row],[EngagementScore]]&lt;=40,"Low",IF(Table1[[#This Row],[EngagementScore]]&lt;=70,"Medium","High"))</f>
        <v>Medium</v>
      </c>
      <c r="O718" t="str">
        <f>IF(Table1[[#This Row],[Age]]&lt;25,"18-24",
IF(Table1[[#This Row],[Age]]&lt;35,"25-34",
IF(Table1[[#This Row],[Age]]&lt;45,"35-44","45+")))</f>
        <v>35-44</v>
      </c>
    </row>
    <row r="719" spans="1:15" x14ac:dyDescent="0.25">
      <c r="A719" t="s">
        <v>728</v>
      </c>
      <c r="B719" s="4">
        <v>44949</v>
      </c>
      <c r="C719" s="1">
        <v>45242</v>
      </c>
      <c r="D719">
        <v>20</v>
      </c>
      <c r="E719" t="s">
        <v>912</v>
      </c>
      <c r="F719" t="s">
        <v>916</v>
      </c>
      <c r="G719" t="s">
        <v>921</v>
      </c>
      <c r="H719">
        <v>6881.29</v>
      </c>
      <c r="I719">
        <v>2</v>
      </c>
      <c r="J719">
        <v>12</v>
      </c>
      <c r="K719" t="s">
        <v>923</v>
      </c>
      <c r="L719" t="str">
        <f>IF(ISBLANK(Table1[[#This Row],[CancelDate]]),"Active","Churned")</f>
        <v>Churned</v>
      </c>
      <c r="M719">
        <f ca="1">IF(ISBLANK(Table1[[#This Row],[CancelDate]]),DATEDIF(Table1[[#This Row],[JoinDate]],TODAY(),"M"),DATEDIF(Table1[[#This Row],[JoinDate]],Table1[[#This Row],[CancelDate]],"M"))</f>
        <v>9</v>
      </c>
      <c r="N719" t="str">
        <f>IF(Table1[[#This Row],[EngagementScore]]&lt;=40,"Low",IF(Table1[[#This Row],[EngagementScore]]&lt;=70,"Medium","High"))</f>
        <v>Low</v>
      </c>
      <c r="O719" t="str">
        <f>IF(Table1[[#This Row],[Age]]&lt;25,"18-24",
IF(Table1[[#This Row],[Age]]&lt;35,"25-34",
IF(Table1[[#This Row],[Age]]&lt;45,"35-44","45+")))</f>
        <v>18-24</v>
      </c>
    </row>
    <row r="720" spans="1:15" x14ac:dyDescent="0.25">
      <c r="A720" t="s">
        <v>729</v>
      </c>
      <c r="B720" s="4">
        <v>45129</v>
      </c>
      <c r="D720">
        <v>57</v>
      </c>
      <c r="E720" t="s">
        <v>911</v>
      </c>
      <c r="F720" t="s">
        <v>919</v>
      </c>
      <c r="G720" t="s">
        <v>922</v>
      </c>
      <c r="H720">
        <v>23858.560000000001</v>
      </c>
      <c r="I720">
        <v>22</v>
      </c>
      <c r="J720">
        <v>70</v>
      </c>
      <c r="K720" t="s">
        <v>925</v>
      </c>
      <c r="L720" t="str">
        <f>IF(ISBLANK(Table1[[#This Row],[CancelDate]]),"Active","Churned")</f>
        <v>Active</v>
      </c>
      <c r="M720">
        <f ca="1">IF(ISBLANK(Table1[[#This Row],[CancelDate]]),DATEDIF(Table1[[#This Row],[JoinDate]],TODAY(),"M"),DATEDIF(Table1[[#This Row],[JoinDate]],Table1[[#This Row],[CancelDate]],"M"))</f>
        <v>32</v>
      </c>
      <c r="N720" t="str">
        <f>IF(Table1[[#This Row],[EngagementScore]]&lt;=40,"Low",IF(Table1[[#This Row],[EngagementScore]]&lt;=70,"Medium","High"))</f>
        <v>Medium</v>
      </c>
      <c r="O720" t="str">
        <f>IF(Table1[[#This Row],[Age]]&lt;25,"18-24",
IF(Table1[[#This Row],[Age]]&lt;35,"25-34",
IF(Table1[[#This Row],[Age]]&lt;45,"35-44","45+")))</f>
        <v>45+</v>
      </c>
    </row>
    <row r="721" spans="1:15" x14ac:dyDescent="0.25">
      <c r="A721" t="s">
        <v>730</v>
      </c>
      <c r="B721" s="4">
        <v>44781</v>
      </c>
      <c r="D721">
        <v>59</v>
      </c>
      <c r="E721" t="s">
        <v>911</v>
      </c>
      <c r="F721" t="s">
        <v>917</v>
      </c>
      <c r="G721" t="s">
        <v>922</v>
      </c>
      <c r="H721">
        <v>7875.75</v>
      </c>
      <c r="I721">
        <v>10</v>
      </c>
      <c r="J721">
        <v>54</v>
      </c>
      <c r="K721" t="s">
        <v>924</v>
      </c>
      <c r="L721" t="str">
        <f>IF(ISBLANK(Table1[[#This Row],[CancelDate]]),"Active","Churned")</f>
        <v>Active</v>
      </c>
      <c r="M721">
        <f ca="1">IF(ISBLANK(Table1[[#This Row],[CancelDate]]),DATEDIF(Table1[[#This Row],[JoinDate]],TODAY(),"M"),DATEDIF(Table1[[#This Row],[JoinDate]],Table1[[#This Row],[CancelDate]],"M"))</f>
        <v>43</v>
      </c>
      <c r="N721" t="str">
        <f>IF(Table1[[#This Row],[EngagementScore]]&lt;=40,"Low",IF(Table1[[#This Row],[EngagementScore]]&lt;=70,"Medium","High"))</f>
        <v>Medium</v>
      </c>
      <c r="O721" t="str">
        <f>IF(Table1[[#This Row],[Age]]&lt;25,"18-24",
IF(Table1[[#This Row],[Age]]&lt;35,"25-34",
IF(Table1[[#This Row],[Age]]&lt;45,"35-44","45+")))</f>
        <v>45+</v>
      </c>
    </row>
    <row r="722" spans="1:15" x14ac:dyDescent="0.25">
      <c r="A722" t="s">
        <v>731</v>
      </c>
      <c r="B722" s="4">
        <v>45178</v>
      </c>
      <c r="C722" s="1">
        <v>45217</v>
      </c>
      <c r="D722">
        <v>34</v>
      </c>
      <c r="E722" t="s">
        <v>911</v>
      </c>
      <c r="F722" t="s">
        <v>916</v>
      </c>
      <c r="G722" t="s">
        <v>921</v>
      </c>
      <c r="H722">
        <v>3731.61</v>
      </c>
      <c r="I722">
        <v>1</v>
      </c>
      <c r="J722">
        <v>23</v>
      </c>
      <c r="K722" t="s">
        <v>923</v>
      </c>
      <c r="L722" t="str">
        <f>IF(ISBLANK(Table1[[#This Row],[CancelDate]]),"Active","Churned")</f>
        <v>Churned</v>
      </c>
      <c r="M722">
        <f ca="1">IF(ISBLANK(Table1[[#This Row],[CancelDate]]),DATEDIF(Table1[[#This Row],[JoinDate]],TODAY(),"M"),DATEDIF(Table1[[#This Row],[JoinDate]],Table1[[#This Row],[CancelDate]],"M"))</f>
        <v>1</v>
      </c>
      <c r="N722" t="str">
        <f>IF(Table1[[#This Row],[EngagementScore]]&lt;=40,"Low",IF(Table1[[#This Row],[EngagementScore]]&lt;=70,"Medium","High"))</f>
        <v>Low</v>
      </c>
      <c r="O722" t="str">
        <f>IF(Table1[[#This Row],[Age]]&lt;25,"18-24",
IF(Table1[[#This Row],[Age]]&lt;35,"25-34",
IF(Table1[[#This Row],[Age]]&lt;45,"35-44","45+")))</f>
        <v>25-34</v>
      </c>
    </row>
    <row r="723" spans="1:15" x14ac:dyDescent="0.25">
      <c r="A723" t="s">
        <v>732</v>
      </c>
      <c r="B723" s="4">
        <v>44848</v>
      </c>
      <c r="C723" s="1">
        <v>45207</v>
      </c>
      <c r="D723">
        <v>19</v>
      </c>
      <c r="E723" t="s">
        <v>911</v>
      </c>
      <c r="F723" t="s">
        <v>914</v>
      </c>
      <c r="G723" t="s">
        <v>922</v>
      </c>
      <c r="H723">
        <v>9458.06</v>
      </c>
      <c r="I723">
        <v>14</v>
      </c>
      <c r="J723">
        <v>43</v>
      </c>
      <c r="K723" t="s">
        <v>923</v>
      </c>
      <c r="L723" t="str">
        <f>IF(ISBLANK(Table1[[#This Row],[CancelDate]]),"Active","Churned")</f>
        <v>Churned</v>
      </c>
      <c r="M723">
        <f ca="1">IF(ISBLANK(Table1[[#This Row],[CancelDate]]),DATEDIF(Table1[[#This Row],[JoinDate]],TODAY(),"M"),DATEDIF(Table1[[#This Row],[JoinDate]],Table1[[#This Row],[CancelDate]],"M"))</f>
        <v>11</v>
      </c>
      <c r="N723" t="str">
        <f>IF(Table1[[#This Row],[EngagementScore]]&lt;=40,"Low",IF(Table1[[#This Row],[EngagementScore]]&lt;=70,"Medium","High"))</f>
        <v>Medium</v>
      </c>
      <c r="O723" t="str">
        <f>IF(Table1[[#This Row],[Age]]&lt;25,"18-24",
IF(Table1[[#This Row],[Age]]&lt;35,"25-34",
IF(Table1[[#This Row],[Age]]&lt;45,"35-44","45+")))</f>
        <v>18-24</v>
      </c>
    </row>
    <row r="724" spans="1:15" x14ac:dyDescent="0.25">
      <c r="A724" t="s">
        <v>733</v>
      </c>
      <c r="B724" s="4">
        <v>45356</v>
      </c>
      <c r="D724">
        <v>52</v>
      </c>
      <c r="E724" t="s">
        <v>911</v>
      </c>
      <c r="F724" t="s">
        <v>916</v>
      </c>
      <c r="G724" t="s">
        <v>922</v>
      </c>
      <c r="H724">
        <v>5536.98</v>
      </c>
      <c r="I724">
        <v>10</v>
      </c>
      <c r="J724">
        <v>67</v>
      </c>
      <c r="K724" t="s">
        <v>925</v>
      </c>
      <c r="L724" t="str">
        <f>IF(ISBLANK(Table1[[#This Row],[CancelDate]]),"Active","Churned")</f>
        <v>Active</v>
      </c>
      <c r="M724">
        <f ca="1">IF(ISBLANK(Table1[[#This Row],[CancelDate]]),DATEDIF(Table1[[#This Row],[JoinDate]],TODAY(),"M"),DATEDIF(Table1[[#This Row],[JoinDate]],Table1[[#This Row],[CancelDate]],"M"))</f>
        <v>24</v>
      </c>
      <c r="N724" t="str">
        <f>IF(Table1[[#This Row],[EngagementScore]]&lt;=40,"Low",IF(Table1[[#This Row],[EngagementScore]]&lt;=70,"Medium","High"))</f>
        <v>Medium</v>
      </c>
      <c r="O724" t="str">
        <f>IF(Table1[[#This Row],[Age]]&lt;25,"18-24",
IF(Table1[[#This Row],[Age]]&lt;35,"25-34",
IF(Table1[[#This Row],[Age]]&lt;45,"35-44","45+")))</f>
        <v>45+</v>
      </c>
    </row>
    <row r="725" spans="1:15" x14ac:dyDescent="0.25">
      <c r="A725" t="s">
        <v>734</v>
      </c>
      <c r="B725" s="4">
        <v>44864</v>
      </c>
      <c r="D725">
        <v>48</v>
      </c>
      <c r="E725" t="s">
        <v>911</v>
      </c>
      <c r="F725" t="s">
        <v>915</v>
      </c>
      <c r="G725" t="s">
        <v>921</v>
      </c>
      <c r="H725">
        <v>20374.59</v>
      </c>
      <c r="I725">
        <v>15</v>
      </c>
      <c r="J725">
        <v>98</v>
      </c>
      <c r="K725" t="s">
        <v>925</v>
      </c>
      <c r="L725" t="str">
        <f>IF(ISBLANK(Table1[[#This Row],[CancelDate]]),"Active","Churned")</f>
        <v>Active</v>
      </c>
      <c r="M725">
        <f ca="1">IF(ISBLANK(Table1[[#This Row],[CancelDate]]),DATEDIF(Table1[[#This Row],[JoinDate]],TODAY(),"M"),DATEDIF(Table1[[#This Row],[JoinDate]],Table1[[#This Row],[CancelDate]],"M"))</f>
        <v>41</v>
      </c>
      <c r="N725" t="str">
        <f>IF(Table1[[#This Row],[EngagementScore]]&lt;=40,"Low",IF(Table1[[#This Row],[EngagementScore]]&lt;=70,"Medium","High"))</f>
        <v>High</v>
      </c>
      <c r="O725" t="str">
        <f>IF(Table1[[#This Row],[Age]]&lt;25,"18-24",
IF(Table1[[#This Row],[Age]]&lt;35,"25-34",
IF(Table1[[#This Row],[Age]]&lt;45,"35-44","45+")))</f>
        <v>45+</v>
      </c>
    </row>
    <row r="726" spans="1:15" x14ac:dyDescent="0.25">
      <c r="A726" t="s">
        <v>735</v>
      </c>
      <c r="B726" s="4">
        <v>44617</v>
      </c>
      <c r="D726">
        <v>23</v>
      </c>
      <c r="E726" t="s">
        <v>912</v>
      </c>
      <c r="F726" t="s">
        <v>917</v>
      </c>
      <c r="G726" t="s">
        <v>922</v>
      </c>
      <c r="H726">
        <v>23748.09</v>
      </c>
      <c r="I726">
        <v>23</v>
      </c>
      <c r="J726">
        <v>73</v>
      </c>
      <c r="K726" t="s">
        <v>925</v>
      </c>
      <c r="L726" t="str">
        <f>IF(ISBLANK(Table1[[#This Row],[CancelDate]]),"Active","Churned")</f>
        <v>Active</v>
      </c>
      <c r="M726">
        <f ca="1">IF(ISBLANK(Table1[[#This Row],[CancelDate]]),DATEDIF(Table1[[#This Row],[JoinDate]],TODAY(),"M"),DATEDIF(Table1[[#This Row],[JoinDate]],Table1[[#This Row],[CancelDate]],"M"))</f>
        <v>49</v>
      </c>
      <c r="N726" t="str">
        <f>IF(Table1[[#This Row],[EngagementScore]]&lt;=40,"Low",IF(Table1[[#This Row],[EngagementScore]]&lt;=70,"Medium","High"))</f>
        <v>High</v>
      </c>
      <c r="O726" t="str">
        <f>IF(Table1[[#This Row],[Age]]&lt;25,"18-24",
IF(Table1[[#This Row],[Age]]&lt;35,"25-34",
IF(Table1[[#This Row],[Age]]&lt;45,"35-44","45+")))</f>
        <v>18-24</v>
      </c>
    </row>
    <row r="727" spans="1:15" x14ac:dyDescent="0.25">
      <c r="A727" t="s">
        <v>736</v>
      </c>
      <c r="B727" s="4">
        <v>45115</v>
      </c>
      <c r="C727" s="1">
        <v>45195</v>
      </c>
      <c r="D727">
        <v>56</v>
      </c>
      <c r="E727" t="s">
        <v>913</v>
      </c>
      <c r="F727" t="s">
        <v>918</v>
      </c>
      <c r="G727" t="s">
        <v>921</v>
      </c>
      <c r="H727">
        <v>4468.1899999999996</v>
      </c>
      <c r="I727">
        <v>3</v>
      </c>
      <c r="J727">
        <v>20</v>
      </c>
      <c r="K727" t="s">
        <v>923</v>
      </c>
      <c r="L727" t="str">
        <f>IF(ISBLANK(Table1[[#This Row],[CancelDate]]),"Active","Churned")</f>
        <v>Churned</v>
      </c>
      <c r="M727">
        <f ca="1">IF(ISBLANK(Table1[[#This Row],[CancelDate]]),DATEDIF(Table1[[#This Row],[JoinDate]],TODAY(),"M"),DATEDIF(Table1[[#This Row],[JoinDate]],Table1[[#This Row],[CancelDate]],"M"))</f>
        <v>2</v>
      </c>
      <c r="N727" t="str">
        <f>IF(Table1[[#This Row],[EngagementScore]]&lt;=40,"Low",IF(Table1[[#This Row],[EngagementScore]]&lt;=70,"Medium","High"))</f>
        <v>Low</v>
      </c>
      <c r="O727" t="str">
        <f>IF(Table1[[#This Row],[Age]]&lt;25,"18-24",
IF(Table1[[#This Row],[Age]]&lt;35,"25-34",
IF(Table1[[#This Row],[Age]]&lt;45,"35-44","45+")))</f>
        <v>45+</v>
      </c>
    </row>
    <row r="728" spans="1:15" x14ac:dyDescent="0.25">
      <c r="A728" t="s">
        <v>737</v>
      </c>
      <c r="B728" s="4">
        <v>45384</v>
      </c>
      <c r="C728" s="1">
        <v>45599</v>
      </c>
      <c r="D728">
        <v>44</v>
      </c>
      <c r="E728" t="s">
        <v>912</v>
      </c>
      <c r="F728" t="s">
        <v>914</v>
      </c>
      <c r="G728" t="s">
        <v>921</v>
      </c>
      <c r="H728">
        <v>3762.05</v>
      </c>
      <c r="I728">
        <v>6</v>
      </c>
      <c r="J728">
        <v>30</v>
      </c>
      <c r="K728" t="s">
        <v>923</v>
      </c>
      <c r="L728" t="str">
        <f>IF(ISBLANK(Table1[[#This Row],[CancelDate]]),"Active","Churned")</f>
        <v>Churned</v>
      </c>
      <c r="M728">
        <f ca="1">IF(ISBLANK(Table1[[#This Row],[CancelDate]]),DATEDIF(Table1[[#This Row],[JoinDate]],TODAY(),"M"),DATEDIF(Table1[[#This Row],[JoinDate]],Table1[[#This Row],[CancelDate]],"M"))</f>
        <v>7</v>
      </c>
      <c r="N728" t="str">
        <f>IF(Table1[[#This Row],[EngagementScore]]&lt;=40,"Low",IF(Table1[[#This Row],[EngagementScore]]&lt;=70,"Medium","High"))</f>
        <v>Low</v>
      </c>
      <c r="O728" t="str">
        <f>IF(Table1[[#This Row],[Age]]&lt;25,"18-24",
IF(Table1[[#This Row],[Age]]&lt;35,"25-34",
IF(Table1[[#This Row],[Age]]&lt;45,"35-44","45+")))</f>
        <v>35-44</v>
      </c>
    </row>
    <row r="729" spans="1:15" x14ac:dyDescent="0.25">
      <c r="A729" t="s">
        <v>738</v>
      </c>
      <c r="B729" s="4">
        <v>45061</v>
      </c>
      <c r="D729">
        <v>29</v>
      </c>
      <c r="E729" t="s">
        <v>912</v>
      </c>
      <c r="F729" t="s">
        <v>918</v>
      </c>
      <c r="G729" t="s">
        <v>921</v>
      </c>
      <c r="H729">
        <v>24388.55</v>
      </c>
      <c r="I729">
        <v>19</v>
      </c>
      <c r="J729">
        <v>89</v>
      </c>
      <c r="K729" t="s">
        <v>924</v>
      </c>
      <c r="L729" t="str">
        <f>IF(ISBLANK(Table1[[#This Row],[CancelDate]]),"Active","Churned")</f>
        <v>Active</v>
      </c>
      <c r="M729">
        <f ca="1">IF(ISBLANK(Table1[[#This Row],[CancelDate]]),DATEDIF(Table1[[#This Row],[JoinDate]],TODAY(),"M"),DATEDIF(Table1[[#This Row],[JoinDate]],Table1[[#This Row],[CancelDate]],"M"))</f>
        <v>34</v>
      </c>
      <c r="N729" t="str">
        <f>IF(Table1[[#This Row],[EngagementScore]]&lt;=40,"Low",IF(Table1[[#This Row],[EngagementScore]]&lt;=70,"Medium","High"))</f>
        <v>High</v>
      </c>
      <c r="O729" t="str">
        <f>IF(Table1[[#This Row],[Age]]&lt;25,"18-24",
IF(Table1[[#This Row],[Age]]&lt;35,"25-34",
IF(Table1[[#This Row],[Age]]&lt;45,"35-44","45+")))</f>
        <v>25-34</v>
      </c>
    </row>
    <row r="730" spans="1:15" x14ac:dyDescent="0.25">
      <c r="A730" t="s">
        <v>739</v>
      </c>
      <c r="B730" s="4">
        <v>45356</v>
      </c>
      <c r="D730">
        <v>21</v>
      </c>
      <c r="E730" t="s">
        <v>912</v>
      </c>
      <c r="F730" t="s">
        <v>917</v>
      </c>
      <c r="G730" t="s">
        <v>922</v>
      </c>
      <c r="H730">
        <v>5315.37</v>
      </c>
      <c r="I730">
        <v>4</v>
      </c>
      <c r="J730">
        <v>16</v>
      </c>
      <c r="K730" t="s">
        <v>923</v>
      </c>
      <c r="L730" t="str">
        <f>IF(ISBLANK(Table1[[#This Row],[CancelDate]]),"Active","Churned")</f>
        <v>Active</v>
      </c>
      <c r="M730">
        <f ca="1">IF(ISBLANK(Table1[[#This Row],[CancelDate]]),DATEDIF(Table1[[#This Row],[JoinDate]],TODAY(),"M"),DATEDIF(Table1[[#This Row],[JoinDate]],Table1[[#This Row],[CancelDate]],"M"))</f>
        <v>24</v>
      </c>
      <c r="N730" t="str">
        <f>IF(Table1[[#This Row],[EngagementScore]]&lt;=40,"Low",IF(Table1[[#This Row],[EngagementScore]]&lt;=70,"Medium","High"))</f>
        <v>Low</v>
      </c>
      <c r="O730" t="str">
        <f>IF(Table1[[#This Row],[Age]]&lt;25,"18-24",
IF(Table1[[#This Row],[Age]]&lt;35,"25-34",
IF(Table1[[#This Row],[Age]]&lt;45,"35-44","45+")))</f>
        <v>18-24</v>
      </c>
    </row>
    <row r="731" spans="1:15" x14ac:dyDescent="0.25">
      <c r="A731" t="s">
        <v>740</v>
      </c>
      <c r="B731" s="4">
        <v>44653</v>
      </c>
      <c r="C731" s="1">
        <v>44839</v>
      </c>
      <c r="D731">
        <v>51</v>
      </c>
      <c r="E731" t="s">
        <v>912</v>
      </c>
      <c r="F731" t="s">
        <v>917</v>
      </c>
      <c r="G731" t="s">
        <v>921</v>
      </c>
      <c r="H731">
        <v>4627.66</v>
      </c>
      <c r="I731">
        <v>7</v>
      </c>
      <c r="J731">
        <v>17</v>
      </c>
      <c r="K731" t="s">
        <v>925</v>
      </c>
      <c r="L731" t="str">
        <f>IF(ISBLANK(Table1[[#This Row],[CancelDate]]),"Active","Churned")</f>
        <v>Churned</v>
      </c>
      <c r="M731">
        <f ca="1">IF(ISBLANK(Table1[[#This Row],[CancelDate]]),DATEDIF(Table1[[#This Row],[JoinDate]],TODAY(),"M"),DATEDIF(Table1[[#This Row],[JoinDate]],Table1[[#This Row],[CancelDate]],"M"))</f>
        <v>6</v>
      </c>
      <c r="N731" t="str">
        <f>IF(Table1[[#This Row],[EngagementScore]]&lt;=40,"Low",IF(Table1[[#This Row],[EngagementScore]]&lt;=70,"Medium","High"))</f>
        <v>Low</v>
      </c>
      <c r="O731" t="str">
        <f>IF(Table1[[#This Row],[Age]]&lt;25,"18-24",
IF(Table1[[#This Row],[Age]]&lt;35,"25-34",
IF(Table1[[#This Row],[Age]]&lt;45,"35-44","45+")))</f>
        <v>45+</v>
      </c>
    </row>
    <row r="732" spans="1:15" x14ac:dyDescent="0.25">
      <c r="A732" t="s">
        <v>741</v>
      </c>
      <c r="B732" s="4">
        <v>45291</v>
      </c>
      <c r="D732">
        <v>42</v>
      </c>
      <c r="E732" t="s">
        <v>913</v>
      </c>
      <c r="F732" t="s">
        <v>915</v>
      </c>
      <c r="G732" t="s">
        <v>922</v>
      </c>
      <c r="H732">
        <v>18993.71</v>
      </c>
      <c r="I732">
        <v>21</v>
      </c>
      <c r="J732">
        <v>85</v>
      </c>
      <c r="K732" t="s">
        <v>924</v>
      </c>
      <c r="L732" t="str">
        <f>IF(ISBLANK(Table1[[#This Row],[CancelDate]]),"Active","Churned")</f>
        <v>Active</v>
      </c>
      <c r="M732">
        <f ca="1">IF(ISBLANK(Table1[[#This Row],[CancelDate]]),DATEDIF(Table1[[#This Row],[JoinDate]],TODAY(),"M"),DATEDIF(Table1[[#This Row],[JoinDate]],Table1[[#This Row],[CancelDate]],"M"))</f>
        <v>27</v>
      </c>
      <c r="N732" t="str">
        <f>IF(Table1[[#This Row],[EngagementScore]]&lt;=40,"Low",IF(Table1[[#This Row],[EngagementScore]]&lt;=70,"Medium","High"))</f>
        <v>High</v>
      </c>
      <c r="O732" t="str">
        <f>IF(Table1[[#This Row],[Age]]&lt;25,"18-24",
IF(Table1[[#This Row],[Age]]&lt;35,"25-34",
IF(Table1[[#This Row],[Age]]&lt;45,"35-44","45+")))</f>
        <v>35-44</v>
      </c>
    </row>
    <row r="733" spans="1:15" x14ac:dyDescent="0.25">
      <c r="A733" t="s">
        <v>742</v>
      </c>
      <c r="B733" s="4">
        <v>45223</v>
      </c>
      <c r="D733">
        <v>32</v>
      </c>
      <c r="E733" t="s">
        <v>911</v>
      </c>
      <c r="F733" t="s">
        <v>916</v>
      </c>
      <c r="G733" t="s">
        <v>921</v>
      </c>
      <c r="H733">
        <v>11282.21</v>
      </c>
      <c r="I733">
        <v>8</v>
      </c>
      <c r="J733">
        <v>40</v>
      </c>
      <c r="K733" t="s">
        <v>923</v>
      </c>
      <c r="L733" t="str">
        <f>IF(ISBLANK(Table1[[#This Row],[CancelDate]]),"Active","Churned")</f>
        <v>Active</v>
      </c>
      <c r="M733">
        <f ca="1">IF(ISBLANK(Table1[[#This Row],[CancelDate]]),DATEDIF(Table1[[#This Row],[JoinDate]],TODAY(),"M"),DATEDIF(Table1[[#This Row],[JoinDate]],Table1[[#This Row],[CancelDate]],"M"))</f>
        <v>29</v>
      </c>
      <c r="N733" t="str">
        <f>IF(Table1[[#This Row],[EngagementScore]]&lt;=40,"Low",IF(Table1[[#This Row],[EngagementScore]]&lt;=70,"Medium","High"))</f>
        <v>Low</v>
      </c>
      <c r="O733" t="str">
        <f>IF(Table1[[#This Row],[Age]]&lt;25,"18-24",
IF(Table1[[#This Row],[Age]]&lt;35,"25-34",
IF(Table1[[#This Row],[Age]]&lt;45,"35-44","45+")))</f>
        <v>25-34</v>
      </c>
    </row>
    <row r="734" spans="1:15" x14ac:dyDescent="0.25">
      <c r="A734" t="s">
        <v>743</v>
      </c>
      <c r="B734" s="4">
        <v>44798</v>
      </c>
      <c r="C734" s="1">
        <v>44836</v>
      </c>
      <c r="D734">
        <v>35</v>
      </c>
      <c r="E734" t="s">
        <v>912</v>
      </c>
      <c r="F734" t="s">
        <v>919</v>
      </c>
      <c r="G734" t="s">
        <v>921</v>
      </c>
      <c r="H734">
        <v>3236.04</v>
      </c>
      <c r="I734">
        <v>6</v>
      </c>
      <c r="J734">
        <v>14</v>
      </c>
      <c r="K734" t="s">
        <v>913</v>
      </c>
      <c r="L734" t="str">
        <f>IF(ISBLANK(Table1[[#This Row],[CancelDate]]),"Active","Churned")</f>
        <v>Churned</v>
      </c>
      <c r="M734">
        <f ca="1">IF(ISBLANK(Table1[[#This Row],[CancelDate]]),DATEDIF(Table1[[#This Row],[JoinDate]],TODAY(),"M"),DATEDIF(Table1[[#This Row],[JoinDate]],Table1[[#This Row],[CancelDate]],"M"))</f>
        <v>1</v>
      </c>
      <c r="N734" t="str">
        <f>IF(Table1[[#This Row],[EngagementScore]]&lt;=40,"Low",IF(Table1[[#This Row],[EngagementScore]]&lt;=70,"Medium","High"))</f>
        <v>Low</v>
      </c>
      <c r="O734" t="str">
        <f>IF(Table1[[#This Row],[Age]]&lt;25,"18-24",
IF(Table1[[#This Row],[Age]]&lt;35,"25-34",
IF(Table1[[#This Row],[Age]]&lt;45,"35-44","45+")))</f>
        <v>35-44</v>
      </c>
    </row>
    <row r="735" spans="1:15" x14ac:dyDescent="0.25">
      <c r="A735" t="s">
        <v>744</v>
      </c>
      <c r="B735" s="4">
        <v>45276</v>
      </c>
      <c r="C735" s="1">
        <v>45503</v>
      </c>
      <c r="D735">
        <v>50</v>
      </c>
      <c r="E735" t="s">
        <v>911</v>
      </c>
      <c r="F735" t="s">
        <v>915</v>
      </c>
      <c r="G735" t="s">
        <v>922</v>
      </c>
      <c r="H735">
        <v>18416.060000000001</v>
      </c>
      <c r="I735">
        <v>28</v>
      </c>
      <c r="J735">
        <v>88</v>
      </c>
      <c r="K735" t="s">
        <v>925</v>
      </c>
      <c r="L735" t="str">
        <f>IF(ISBLANK(Table1[[#This Row],[CancelDate]]),"Active","Churned")</f>
        <v>Churned</v>
      </c>
      <c r="M735">
        <f ca="1">IF(ISBLANK(Table1[[#This Row],[CancelDate]]),DATEDIF(Table1[[#This Row],[JoinDate]],TODAY(),"M"),DATEDIF(Table1[[#This Row],[JoinDate]],Table1[[#This Row],[CancelDate]],"M"))</f>
        <v>7</v>
      </c>
      <c r="N735" t="str">
        <f>IF(Table1[[#This Row],[EngagementScore]]&lt;=40,"Low",IF(Table1[[#This Row],[EngagementScore]]&lt;=70,"Medium","High"))</f>
        <v>High</v>
      </c>
      <c r="O735" t="str">
        <f>IF(Table1[[#This Row],[Age]]&lt;25,"18-24",
IF(Table1[[#This Row],[Age]]&lt;35,"25-34",
IF(Table1[[#This Row],[Age]]&lt;45,"35-44","45+")))</f>
        <v>45+</v>
      </c>
    </row>
    <row r="736" spans="1:15" x14ac:dyDescent="0.25">
      <c r="A736" t="s">
        <v>745</v>
      </c>
      <c r="B736" s="4">
        <v>45059</v>
      </c>
      <c r="C736" s="1">
        <v>45187</v>
      </c>
      <c r="D736">
        <v>19</v>
      </c>
      <c r="E736" t="s">
        <v>911</v>
      </c>
      <c r="F736" t="s">
        <v>916</v>
      </c>
      <c r="G736" t="s">
        <v>921</v>
      </c>
      <c r="H736">
        <v>4414.12</v>
      </c>
      <c r="I736">
        <v>4</v>
      </c>
      <c r="J736">
        <v>16</v>
      </c>
      <c r="K736" t="s">
        <v>925</v>
      </c>
      <c r="L736" t="str">
        <f>IF(ISBLANK(Table1[[#This Row],[CancelDate]]),"Active","Churned")</f>
        <v>Churned</v>
      </c>
      <c r="M736">
        <f ca="1">IF(ISBLANK(Table1[[#This Row],[CancelDate]]),DATEDIF(Table1[[#This Row],[JoinDate]],TODAY(),"M"),DATEDIF(Table1[[#This Row],[JoinDate]],Table1[[#This Row],[CancelDate]],"M"))</f>
        <v>4</v>
      </c>
      <c r="N736" t="str">
        <f>IF(Table1[[#This Row],[EngagementScore]]&lt;=40,"Low",IF(Table1[[#This Row],[EngagementScore]]&lt;=70,"Medium","High"))</f>
        <v>Low</v>
      </c>
      <c r="O736" t="str">
        <f>IF(Table1[[#This Row],[Age]]&lt;25,"18-24",
IF(Table1[[#This Row],[Age]]&lt;35,"25-34",
IF(Table1[[#This Row],[Age]]&lt;45,"35-44","45+")))</f>
        <v>18-24</v>
      </c>
    </row>
    <row r="737" spans="1:15" x14ac:dyDescent="0.25">
      <c r="A737" t="s">
        <v>746</v>
      </c>
      <c r="B737" s="4">
        <v>44915</v>
      </c>
      <c r="C737" s="1">
        <v>45110</v>
      </c>
      <c r="D737">
        <v>54</v>
      </c>
      <c r="E737" t="s">
        <v>912</v>
      </c>
      <c r="F737" t="s">
        <v>918</v>
      </c>
      <c r="G737" t="s">
        <v>922</v>
      </c>
      <c r="H737">
        <v>4171.68</v>
      </c>
      <c r="I737">
        <v>6</v>
      </c>
      <c r="J737">
        <v>18</v>
      </c>
      <c r="K737" t="s">
        <v>924</v>
      </c>
      <c r="L737" t="str">
        <f>IF(ISBLANK(Table1[[#This Row],[CancelDate]]),"Active","Churned")</f>
        <v>Churned</v>
      </c>
      <c r="M737">
        <f ca="1">IF(ISBLANK(Table1[[#This Row],[CancelDate]]),DATEDIF(Table1[[#This Row],[JoinDate]],TODAY(),"M"),DATEDIF(Table1[[#This Row],[JoinDate]],Table1[[#This Row],[CancelDate]],"M"))</f>
        <v>6</v>
      </c>
      <c r="N737" t="str">
        <f>IF(Table1[[#This Row],[EngagementScore]]&lt;=40,"Low",IF(Table1[[#This Row],[EngagementScore]]&lt;=70,"Medium","High"))</f>
        <v>Low</v>
      </c>
      <c r="O737" t="str">
        <f>IF(Table1[[#This Row],[Age]]&lt;25,"18-24",
IF(Table1[[#This Row],[Age]]&lt;35,"25-34",
IF(Table1[[#This Row],[Age]]&lt;45,"35-44","45+")))</f>
        <v>45+</v>
      </c>
    </row>
    <row r="738" spans="1:15" x14ac:dyDescent="0.25">
      <c r="A738" t="s">
        <v>747</v>
      </c>
      <c r="B738" s="4">
        <v>44599</v>
      </c>
      <c r="D738">
        <v>42</v>
      </c>
      <c r="E738" t="s">
        <v>911</v>
      </c>
      <c r="F738" t="s">
        <v>918</v>
      </c>
      <c r="G738" t="s">
        <v>921</v>
      </c>
      <c r="H738">
        <v>18192.5</v>
      </c>
      <c r="I738">
        <v>23</v>
      </c>
      <c r="J738">
        <v>98</v>
      </c>
      <c r="K738" t="s">
        <v>925</v>
      </c>
      <c r="L738" t="str">
        <f>IF(ISBLANK(Table1[[#This Row],[CancelDate]]),"Active","Churned")</f>
        <v>Active</v>
      </c>
      <c r="M738">
        <f ca="1">IF(ISBLANK(Table1[[#This Row],[CancelDate]]),DATEDIF(Table1[[#This Row],[JoinDate]],TODAY(),"M"),DATEDIF(Table1[[#This Row],[JoinDate]],Table1[[#This Row],[CancelDate]],"M"))</f>
        <v>49</v>
      </c>
      <c r="N738" t="str">
        <f>IF(Table1[[#This Row],[EngagementScore]]&lt;=40,"Low",IF(Table1[[#This Row],[EngagementScore]]&lt;=70,"Medium","High"))</f>
        <v>High</v>
      </c>
      <c r="O738" t="str">
        <f>IF(Table1[[#This Row],[Age]]&lt;25,"18-24",
IF(Table1[[#This Row],[Age]]&lt;35,"25-34",
IF(Table1[[#This Row],[Age]]&lt;45,"35-44","45+")))</f>
        <v>35-44</v>
      </c>
    </row>
    <row r="739" spans="1:15" x14ac:dyDescent="0.25">
      <c r="A739" t="s">
        <v>748</v>
      </c>
      <c r="B739" s="4">
        <v>45374</v>
      </c>
      <c r="C739" s="1">
        <v>45691</v>
      </c>
      <c r="D739">
        <v>43</v>
      </c>
      <c r="E739" t="s">
        <v>912</v>
      </c>
      <c r="F739" t="s">
        <v>916</v>
      </c>
      <c r="G739" t="s">
        <v>920</v>
      </c>
      <c r="H739">
        <v>7316.21</v>
      </c>
      <c r="I739">
        <v>5</v>
      </c>
      <c r="J739">
        <v>23</v>
      </c>
      <c r="K739" t="s">
        <v>925</v>
      </c>
      <c r="L739" t="str">
        <f>IF(ISBLANK(Table1[[#This Row],[CancelDate]]),"Active","Churned")</f>
        <v>Churned</v>
      </c>
      <c r="M739">
        <f ca="1">IF(ISBLANK(Table1[[#This Row],[CancelDate]]),DATEDIF(Table1[[#This Row],[JoinDate]],TODAY(),"M"),DATEDIF(Table1[[#This Row],[JoinDate]],Table1[[#This Row],[CancelDate]],"M"))</f>
        <v>10</v>
      </c>
      <c r="N739" t="str">
        <f>IF(Table1[[#This Row],[EngagementScore]]&lt;=40,"Low",IF(Table1[[#This Row],[EngagementScore]]&lt;=70,"Medium","High"))</f>
        <v>Low</v>
      </c>
      <c r="O739" t="str">
        <f>IF(Table1[[#This Row],[Age]]&lt;25,"18-24",
IF(Table1[[#This Row],[Age]]&lt;35,"25-34",
IF(Table1[[#This Row],[Age]]&lt;45,"35-44","45+")))</f>
        <v>35-44</v>
      </c>
    </row>
    <row r="740" spans="1:15" x14ac:dyDescent="0.25">
      <c r="A740" t="s">
        <v>749</v>
      </c>
      <c r="B740" s="4">
        <v>45251</v>
      </c>
      <c r="D740">
        <v>38</v>
      </c>
      <c r="E740" t="s">
        <v>913</v>
      </c>
      <c r="F740" t="s">
        <v>916</v>
      </c>
      <c r="G740" t="s">
        <v>920</v>
      </c>
      <c r="H740">
        <v>3150.43</v>
      </c>
      <c r="I740">
        <v>1</v>
      </c>
      <c r="J740">
        <v>39</v>
      </c>
      <c r="K740" t="s">
        <v>923</v>
      </c>
      <c r="L740" t="str">
        <f>IF(ISBLANK(Table1[[#This Row],[CancelDate]]),"Active","Churned")</f>
        <v>Active</v>
      </c>
      <c r="M740">
        <f ca="1">IF(ISBLANK(Table1[[#This Row],[CancelDate]]),DATEDIF(Table1[[#This Row],[JoinDate]],TODAY(),"M"),DATEDIF(Table1[[#This Row],[JoinDate]],Table1[[#This Row],[CancelDate]],"M"))</f>
        <v>28</v>
      </c>
      <c r="N740" t="str">
        <f>IF(Table1[[#This Row],[EngagementScore]]&lt;=40,"Low",IF(Table1[[#This Row],[EngagementScore]]&lt;=70,"Medium","High"))</f>
        <v>Low</v>
      </c>
      <c r="O740" t="str">
        <f>IF(Table1[[#This Row],[Age]]&lt;25,"18-24",
IF(Table1[[#This Row],[Age]]&lt;35,"25-34",
IF(Table1[[#This Row],[Age]]&lt;45,"35-44","45+")))</f>
        <v>35-44</v>
      </c>
    </row>
    <row r="741" spans="1:15" x14ac:dyDescent="0.25">
      <c r="A741" t="s">
        <v>750</v>
      </c>
      <c r="B741" s="4">
        <v>45284</v>
      </c>
      <c r="D741">
        <v>39</v>
      </c>
      <c r="E741" t="s">
        <v>911</v>
      </c>
      <c r="F741" t="s">
        <v>915</v>
      </c>
      <c r="G741" t="s">
        <v>921</v>
      </c>
      <c r="H741">
        <v>14684.61</v>
      </c>
      <c r="I741">
        <v>11</v>
      </c>
      <c r="J741">
        <v>49</v>
      </c>
      <c r="K741" t="s">
        <v>923</v>
      </c>
      <c r="L741" t="str">
        <f>IF(ISBLANK(Table1[[#This Row],[CancelDate]]),"Active","Churned")</f>
        <v>Active</v>
      </c>
      <c r="M741">
        <f ca="1">IF(ISBLANK(Table1[[#This Row],[CancelDate]]),DATEDIF(Table1[[#This Row],[JoinDate]],TODAY(),"M"),DATEDIF(Table1[[#This Row],[JoinDate]],Table1[[#This Row],[CancelDate]],"M"))</f>
        <v>27</v>
      </c>
      <c r="N741" t="str">
        <f>IF(Table1[[#This Row],[EngagementScore]]&lt;=40,"Low",IF(Table1[[#This Row],[EngagementScore]]&lt;=70,"Medium","High"))</f>
        <v>Medium</v>
      </c>
      <c r="O741" t="str">
        <f>IF(Table1[[#This Row],[Age]]&lt;25,"18-24",
IF(Table1[[#This Row],[Age]]&lt;35,"25-34",
IF(Table1[[#This Row],[Age]]&lt;45,"35-44","45+")))</f>
        <v>35-44</v>
      </c>
    </row>
    <row r="742" spans="1:15" x14ac:dyDescent="0.25">
      <c r="A742" t="s">
        <v>751</v>
      </c>
      <c r="B742" s="4">
        <v>44863</v>
      </c>
      <c r="C742" s="1">
        <v>45175</v>
      </c>
      <c r="D742">
        <v>39</v>
      </c>
      <c r="E742" t="s">
        <v>911</v>
      </c>
      <c r="F742" t="s">
        <v>917</v>
      </c>
      <c r="G742" t="s">
        <v>920</v>
      </c>
      <c r="H742">
        <v>4386.63</v>
      </c>
      <c r="I742">
        <v>5</v>
      </c>
      <c r="J742">
        <v>26</v>
      </c>
      <c r="K742" t="s">
        <v>925</v>
      </c>
      <c r="L742" t="str">
        <f>IF(ISBLANK(Table1[[#This Row],[CancelDate]]),"Active","Churned")</f>
        <v>Churned</v>
      </c>
      <c r="M742">
        <f ca="1">IF(ISBLANK(Table1[[#This Row],[CancelDate]]),DATEDIF(Table1[[#This Row],[JoinDate]],TODAY(),"M"),DATEDIF(Table1[[#This Row],[JoinDate]],Table1[[#This Row],[CancelDate]],"M"))</f>
        <v>10</v>
      </c>
      <c r="N742" t="str">
        <f>IF(Table1[[#This Row],[EngagementScore]]&lt;=40,"Low",IF(Table1[[#This Row],[EngagementScore]]&lt;=70,"Medium","High"))</f>
        <v>Low</v>
      </c>
      <c r="O742" t="str">
        <f>IF(Table1[[#This Row],[Age]]&lt;25,"18-24",
IF(Table1[[#This Row],[Age]]&lt;35,"25-34",
IF(Table1[[#This Row],[Age]]&lt;45,"35-44","45+")))</f>
        <v>35-44</v>
      </c>
    </row>
    <row r="743" spans="1:15" x14ac:dyDescent="0.25">
      <c r="A743" t="s">
        <v>752</v>
      </c>
      <c r="B743" s="4">
        <v>45411</v>
      </c>
      <c r="D743">
        <v>32</v>
      </c>
      <c r="E743" t="s">
        <v>912</v>
      </c>
      <c r="F743" t="s">
        <v>918</v>
      </c>
      <c r="G743" t="s">
        <v>920</v>
      </c>
      <c r="H743">
        <v>27113.919999999998</v>
      </c>
      <c r="I743">
        <v>21</v>
      </c>
      <c r="J743">
        <v>99</v>
      </c>
      <c r="K743" t="s">
        <v>925</v>
      </c>
      <c r="L743" t="str">
        <f>IF(ISBLANK(Table1[[#This Row],[CancelDate]]),"Active","Churned")</f>
        <v>Active</v>
      </c>
      <c r="M743">
        <f ca="1">IF(ISBLANK(Table1[[#This Row],[CancelDate]]),DATEDIF(Table1[[#This Row],[JoinDate]],TODAY(),"M"),DATEDIF(Table1[[#This Row],[JoinDate]],Table1[[#This Row],[CancelDate]],"M"))</f>
        <v>23</v>
      </c>
      <c r="N743" t="str">
        <f>IF(Table1[[#This Row],[EngagementScore]]&lt;=40,"Low",IF(Table1[[#This Row],[EngagementScore]]&lt;=70,"Medium","High"))</f>
        <v>High</v>
      </c>
      <c r="O743" t="str">
        <f>IF(Table1[[#This Row],[Age]]&lt;25,"18-24",
IF(Table1[[#This Row],[Age]]&lt;35,"25-34",
IF(Table1[[#This Row],[Age]]&lt;45,"35-44","45+")))</f>
        <v>25-34</v>
      </c>
    </row>
    <row r="744" spans="1:15" x14ac:dyDescent="0.25">
      <c r="A744" t="s">
        <v>753</v>
      </c>
      <c r="B744" s="4">
        <v>44873</v>
      </c>
      <c r="C744" s="1">
        <v>45212</v>
      </c>
      <c r="D744">
        <v>44</v>
      </c>
      <c r="E744" t="s">
        <v>912</v>
      </c>
      <c r="F744" t="s">
        <v>917</v>
      </c>
      <c r="G744" t="s">
        <v>921</v>
      </c>
      <c r="H744">
        <v>3849.44</v>
      </c>
      <c r="I744">
        <v>6</v>
      </c>
      <c r="J744">
        <v>10</v>
      </c>
      <c r="K744" t="s">
        <v>923</v>
      </c>
      <c r="L744" t="str">
        <f>IF(ISBLANK(Table1[[#This Row],[CancelDate]]),"Active","Churned")</f>
        <v>Churned</v>
      </c>
      <c r="M744">
        <f ca="1">IF(ISBLANK(Table1[[#This Row],[CancelDate]]),DATEDIF(Table1[[#This Row],[JoinDate]],TODAY(),"M"),DATEDIF(Table1[[#This Row],[JoinDate]],Table1[[#This Row],[CancelDate]],"M"))</f>
        <v>11</v>
      </c>
      <c r="N744" t="str">
        <f>IF(Table1[[#This Row],[EngagementScore]]&lt;=40,"Low",IF(Table1[[#This Row],[EngagementScore]]&lt;=70,"Medium","High"))</f>
        <v>Low</v>
      </c>
      <c r="O744" t="str">
        <f>IF(Table1[[#This Row],[Age]]&lt;25,"18-24",
IF(Table1[[#This Row],[Age]]&lt;35,"25-34",
IF(Table1[[#This Row],[Age]]&lt;45,"35-44","45+")))</f>
        <v>35-44</v>
      </c>
    </row>
    <row r="745" spans="1:15" x14ac:dyDescent="0.25">
      <c r="A745" t="s">
        <v>754</v>
      </c>
      <c r="B745" s="4">
        <v>45056</v>
      </c>
      <c r="D745">
        <v>31</v>
      </c>
      <c r="E745" t="s">
        <v>911</v>
      </c>
      <c r="F745" t="s">
        <v>914</v>
      </c>
      <c r="G745" t="s">
        <v>921</v>
      </c>
      <c r="H745">
        <v>13291.63</v>
      </c>
      <c r="I745">
        <v>5</v>
      </c>
      <c r="J745">
        <v>42</v>
      </c>
      <c r="K745" t="s">
        <v>923</v>
      </c>
      <c r="L745" t="str">
        <f>IF(ISBLANK(Table1[[#This Row],[CancelDate]]),"Active","Churned")</f>
        <v>Active</v>
      </c>
      <c r="M745">
        <f ca="1">IF(ISBLANK(Table1[[#This Row],[CancelDate]]),DATEDIF(Table1[[#This Row],[JoinDate]],TODAY(),"M"),DATEDIF(Table1[[#This Row],[JoinDate]],Table1[[#This Row],[CancelDate]],"M"))</f>
        <v>34</v>
      </c>
      <c r="N745" t="str">
        <f>IF(Table1[[#This Row],[EngagementScore]]&lt;=40,"Low",IF(Table1[[#This Row],[EngagementScore]]&lt;=70,"Medium","High"))</f>
        <v>Medium</v>
      </c>
      <c r="O745" t="str">
        <f>IF(Table1[[#This Row],[Age]]&lt;25,"18-24",
IF(Table1[[#This Row],[Age]]&lt;35,"25-34",
IF(Table1[[#This Row],[Age]]&lt;45,"35-44","45+")))</f>
        <v>25-34</v>
      </c>
    </row>
    <row r="746" spans="1:15" x14ac:dyDescent="0.25">
      <c r="A746" t="s">
        <v>755</v>
      </c>
      <c r="B746" s="4">
        <v>45347</v>
      </c>
      <c r="D746">
        <v>46</v>
      </c>
      <c r="E746" t="s">
        <v>912</v>
      </c>
      <c r="F746" t="s">
        <v>918</v>
      </c>
      <c r="G746" t="s">
        <v>921</v>
      </c>
      <c r="H746">
        <v>27431.26</v>
      </c>
      <c r="I746">
        <v>18</v>
      </c>
      <c r="J746">
        <v>84</v>
      </c>
      <c r="K746" t="s">
        <v>913</v>
      </c>
      <c r="L746" t="str">
        <f>IF(ISBLANK(Table1[[#This Row],[CancelDate]]),"Active","Churned")</f>
        <v>Active</v>
      </c>
      <c r="M746">
        <f ca="1">IF(ISBLANK(Table1[[#This Row],[CancelDate]]),DATEDIF(Table1[[#This Row],[JoinDate]],TODAY(),"M"),DATEDIF(Table1[[#This Row],[JoinDate]],Table1[[#This Row],[CancelDate]],"M"))</f>
        <v>25</v>
      </c>
      <c r="N746" t="str">
        <f>IF(Table1[[#This Row],[EngagementScore]]&lt;=40,"Low",IF(Table1[[#This Row],[EngagementScore]]&lt;=70,"Medium","High"))</f>
        <v>High</v>
      </c>
      <c r="O746" t="str">
        <f>IF(Table1[[#This Row],[Age]]&lt;25,"18-24",
IF(Table1[[#This Row],[Age]]&lt;35,"25-34",
IF(Table1[[#This Row],[Age]]&lt;45,"35-44","45+")))</f>
        <v>45+</v>
      </c>
    </row>
    <row r="747" spans="1:15" x14ac:dyDescent="0.25">
      <c r="A747" t="s">
        <v>756</v>
      </c>
      <c r="B747" s="4">
        <v>44788</v>
      </c>
      <c r="D747">
        <v>18</v>
      </c>
      <c r="E747" t="s">
        <v>912</v>
      </c>
      <c r="F747" t="s">
        <v>914</v>
      </c>
      <c r="G747" t="s">
        <v>921</v>
      </c>
      <c r="H747">
        <v>19615.55</v>
      </c>
      <c r="I747">
        <v>16</v>
      </c>
      <c r="J747">
        <v>84</v>
      </c>
      <c r="K747" t="s">
        <v>925</v>
      </c>
      <c r="L747" t="str">
        <f>IF(ISBLANK(Table1[[#This Row],[CancelDate]]),"Active","Churned")</f>
        <v>Active</v>
      </c>
      <c r="M747">
        <f ca="1">IF(ISBLANK(Table1[[#This Row],[CancelDate]]),DATEDIF(Table1[[#This Row],[JoinDate]],TODAY(),"M"),DATEDIF(Table1[[#This Row],[JoinDate]],Table1[[#This Row],[CancelDate]],"M"))</f>
        <v>43</v>
      </c>
      <c r="N747" t="str">
        <f>IF(Table1[[#This Row],[EngagementScore]]&lt;=40,"Low",IF(Table1[[#This Row],[EngagementScore]]&lt;=70,"Medium","High"))</f>
        <v>High</v>
      </c>
      <c r="O747" t="str">
        <f>IF(Table1[[#This Row],[Age]]&lt;25,"18-24",
IF(Table1[[#This Row],[Age]]&lt;35,"25-34",
IF(Table1[[#This Row],[Age]]&lt;45,"35-44","45+")))</f>
        <v>18-24</v>
      </c>
    </row>
    <row r="748" spans="1:15" x14ac:dyDescent="0.25">
      <c r="A748" t="s">
        <v>757</v>
      </c>
      <c r="B748" s="4">
        <v>45448</v>
      </c>
      <c r="C748" s="1">
        <v>45676</v>
      </c>
      <c r="D748">
        <v>29</v>
      </c>
      <c r="E748" t="s">
        <v>912</v>
      </c>
      <c r="F748" t="s">
        <v>916</v>
      </c>
      <c r="G748" t="s">
        <v>921</v>
      </c>
      <c r="H748">
        <v>10331.81</v>
      </c>
      <c r="I748">
        <v>11</v>
      </c>
      <c r="J748">
        <v>42</v>
      </c>
      <c r="K748" t="s">
        <v>925</v>
      </c>
      <c r="L748" t="str">
        <f>IF(ISBLANK(Table1[[#This Row],[CancelDate]]),"Active","Churned")</f>
        <v>Churned</v>
      </c>
      <c r="M748">
        <f ca="1">IF(ISBLANK(Table1[[#This Row],[CancelDate]]),DATEDIF(Table1[[#This Row],[JoinDate]],TODAY(),"M"),DATEDIF(Table1[[#This Row],[JoinDate]],Table1[[#This Row],[CancelDate]],"M"))</f>
        <v>7</v>
      </c>
      <c r="N748" t="str">
        <f>IF(Table1[[#This Row],[EngagementScore]]&lt;=40,"Low",IF(Table1[[#This Row],[EngagementScore]]&lt;=70,"Medium","High"))</f>
        <v>Medium</v>
      </c>
      <c r="O748" t="str">
        <f>IF(Table1[[#This Row],[Age]]&lt;25,"18-24",
IF(Table1[[#This Row],[Age]]&lt;35,"25-34",
IF(Table1[[#This Row],[Age]]&lt;45,"35-44","45+")))</f>
        <v>25-34</v>
      </c>
    </row>
    <row r="749" spans="1:15" x14ac:dyDescent="0.25">
      <c r="A749" t="s">
        <v>758</v>
      </c>
      <c r="B749" s="4">
        <v>45151</v>
      </c>
      <c r="C749" s="1">
        <v>45299</v>
      </c>
      <c r="D749">
        <v>19</v>
      </c>
      <c r="E749" t="s">
        <v>911</v>
      </c>
      <c r="F749" t="s">
        <v>917</v>
      </c>
      <c r="G749" t="s">
        <v>921</v>
      </c>
      <c r="H749">
        <v>9875.93</v>
      </c>
      <c r="I749">
        <v>8</v>
      </c>
      <c r="J749">
        <v>67</v>
      </c>
      <c r="K749" t="s">
        <v>923</v>
      </c>
      <c r="L749" t="str">
        <f>IF(ISBLANK(Table1[[#This Row],[CancelDate]]),"Active","Churned")</f>
        <v>Churned</v>
      </c>
      <c r="M749">
        <f ca="1">IF(ISBLANK(Table1[[#This Row],[CancelDate]]),DATEDIF(Table1[[#This Row],[JoinDate]],TODAY(),"M"),DATEDIF(Table1[[#This Row],[JoinDate]],Table1[[#This Row],[CancelDate]],"M"))</f>
        <v>4</v>
      </c>
      <c r="N749" t="str">
        <f>IF(Table1[[#This Row],[EngagementScore]]&lt;=40,"Low",IF(Table1[[#This Row],[EngagementScore]]&lt;=70,"Medium","High"))</f>
        <v>Medium</v>
      </c>
      <c r="O749" t="str">
        <f>IF(Table1[[#This Row],[Age]]&lt;25,"18-24",
IF(Table1[[#This Row],[Age]]&lt;35,"25-34",
IF(Table1[[#This Row],[Age]]&lt;45,"35-44","45+")))</f>
        <v>18-24</v>
      </c>
    </row>
    <row r="750" spans="1:15" x14ac:dyDescent="0.25">
      <c r="A750" t="s">
        <v>759</v>
      </c>
      <c r="B750" s="4">
        <v>44624</v>
      </c>
      <c r="D750">
        <v>55</v>
      </c>
      <c r="E750" t="s">
        <v>911</v>
      </c>
      <c r="F750" t="s">
        <v>919</v>
      </c>
      <c r="G750" t="s">
        <v>921</v>
      </c>
      <c r="H750">
        <v>22173.91</v>
      </c>
      <c r="I750">
        <v>15</v>
      </c>
      <c r="J750">
        <v>78</v>
      </c>
      <c r="K750" t="s">
        <v>923</v>
      </c>
      <c r="L750" t="str">
        <f>IF(ISBLANK(Table1[[#This Row],[CancelDate]]),"Active","Churned")</f>
        <v>Active</v>
      </c>
      <c r="M750">
        <f ca="1">IF(ISBLANK(Table1[[#This Row],[CancelDate]]),DATEDIF(Table1[[#This Row],[JoinDate]],TODAY(),"M"),DATEDIF(Table1[[#This Row],[JoinDate]],Table1[[#This Row],[CancelDate]],"M"))</f>
        <v>48</v>
      </c>
      <c r="N750" t="str">
        <f>IF(Table1[[#This Row],[EngagementScore]]&lt;=40,"Low",IF(Table1[[#This Row],[EngagementScore]]&lt;=70,"Medium","High"))</f>
        <v>High</v>
      </c>
      <c r="O750" t="str">
        <f>IF(Table1[[#This Row],[Age]]&lt;25,"18-24",
IF(Table1[[#This Row],[Age]]&lt;35,"25-34",
IF(Table1[[#This Row],[Age]]&lt;45,"35-44","45+")))</f>
        <v>45+</v>
      </c>
    </row>
    <row r="751" spans="1:15" x14ac:dyDescent="0.25">
      <c r="A751" t="s">
        <v>760</v>
      </c>
      <c r="B751" s="4">
        <v>45121</v>
      </c>
      <c r="C751" s="1">
        <v>45185</v>
      </c>
      <c r="D751">
        <v>26</v>
      </c>
      <c r="E751" t="s">
        <v>912</v>
      </c>
      <c r="F751" t="s">
        <v>916</v>
      </c>
      <c r="G751" t="s">
        <v>921</v>
      </c>
      <c r="H751">
        <v>13950.08</v>
      </c>
      <c r="I751">
        <v>9</v>
      </c>
      <c r="J751">
        <v>66</v>
      </c>
      <c r="K751" t="s">
        <v>925</v>
      </c>
      <c r="L751" t="str">
        <f>IF(ISBLANK(Table1[[#This Row],[CancelDate]]),"Active","Churned")</f>
        <v>Churned</v>
      </c>
      <c r="M751">
        <f ca="1">IF(ISBLANK(Table1[[#This Row],[CancelDate]]),DATEDIF(Table1[[#This Row],[JoinDate]],TODAY(),"M"),DATEDIF(Table1[[#This Row],[JoinDate]],Table1[[#This Row],[CancelDate]],"M"))</f>
        <v>2</v>
      </c>
      <c r="N751" t="str">
        <f>IF(Table1[[#This Row],[EngagementScore]]&lt;=40,"Low",IF(Table1[[#This Row],[EngagementScore]]&lt;=70,"Medium","High"))</f>
        <v>Medium</v>
      </c>
      <c r="O751" t="str">
        <f>IF(Table1[[#This Row],[Age]]&lt;25,"18-24",
IF(Table1[[#This Row],[Age]]&lt;35,"25-34",
IF(Table1[[#This Row],[Age]]&lt;45,"35-44","45+")))</f>
        <v>25-34</v>
      </c>
    </row>
    <row r="752" spans="1:15" x14ac:dyDescent="0.25">
      <c r="A752" t="s">
        <v>761</v>
      </c>
      <c r="B752" s="4">
        <v>44631</v>
      </c>
      <c r="D752">
        <v>59</v>
      </c>
      <c r="E752" t="s">
        <v>911</v>
      </c>
      <c r="F752" t="s">
        <v>916</v>
      </c>
      <c r="G752" t="s">
        <v>921</v>
      </c>
      <c r="H752">
        <v>22334.54</v>
      </c>
      <c r="I752">
        <v>24</v>
      </c>
      <c r="J752">
        <v>98</v>
      </c>
      <c r="K752" t="s">
        <v>925</v>
      </c>
      <c r="L752" t="str">
        <f>IF(ISBLANK(Table1[[#This Row],[CancelDate]]),"Active","Churned")</f>
        <v>Active</v>
      </c>
      <c r="M752">
        <f ca="1">IF(ISBLANK(Table1[[#This Row],[CancelDate]]),DATEDIF(Table1[[#This Row],[JoinDate]],TODAY(),"M"),DATEDIF(Table1[[#This Row],[JoinDate]],Table1[[#This Row],[CancelDate]],"M"))</f>
        <v>48</v>
      </c>
      <c r="N752" t="str">
        <f>IF(Table1[[#This Row],[EngagementScore]]&lt;=40,"Low",IF(Table1[[#This Row],[EngagementScore]]&lt;=70,"Medium","High"))</f>
        <v>High</v>
      </c>
      <c r="O752" t="str">
        <f>IF(Table1[[#This Row],[Age]]&lt;25,"18-24",
IF(Table1[[#This Row],[Age]]&lt;35,"25-34",
IF(Table1[[#This Row],[Age]]&lt;45,"35-44","45+")))</f>
        <v>45+</v>
      </c>
    </row>
    <row r="753" spans="1:15" x14ac:dyDescent="0.25">
      <c r="A753" t="s">
        <v>762</v>
      </c>
      <c r="B753" s="4">
        <v>44968</v>
      </c>
      <c r="D753">
        <v>53</v>
      </c>
      <c r="E753" t="s">
        <v>912</v>
      </c>
      <c r="F753" t="s">
        <v>918</v>
      </c>
      <c r="G753" t="s">
        <v>920</v>
      </c>
      <c r="H753">
        <v>25757.8</v>
      </c>
      <c r="I753">
        <v>12</v>
      </c>
      <c r="J753">
        <v>85</v>
      </c>
      <c r="K753" t="s">
        <v>925</v>
      </c>
      <c r="L753" t="str">
        <f>IF(ISBLANK(Table1[[#This Row],[CancelDate]]),"Active","Churned")</f>
        <v>Active</v>
      </c>
      <c r="M753">
        <f ca="1">IF(ISBLANK(Table1[[#This Row],[CancelDate]]),DATEDIF(Table1[[#This Row],[JoinDate]],TODAY(),"M"),DATEDIF(Table1[[#This Row],[JoinDate]],Table1[[#This Row],[CancelDate]],"M"))</f>
        <v>37</v>
      </c>
      <c r="N753" t="str">
        <f>IF(Table1[[#This Row],[EngagementScore]]&lt;=40,"Low",IF(Table1[[#This Row],[EngagementScore]]&lt;=70,"Medium","High"))</f>
        <v>High</v>
      </c>
      <c r="O753" t="str">
        <f>IF(Table1[[#This Row],[Age]]&lt;25,"18-24",
IF(Table1[[#This Row],[Age]]&lt;35,"25-34",
IF(Table1[[#This Row],[Age]]&lt;45,"35-44","45+")))</f>
        <v>45+</v>
      </c>
    </row>
    <row r="754" spans="1:15" x14ac:dyDescent="0.25">
      <c r="A754" t="s">
        <v>763</v>
      </c>
      <c r="B754" s="4">
        <v>45114</v>
      </c>
      <c r="C754" s="1">
        <v>45240</v>
      </c>
      <c r="D754">
        <v>43</v>
      </c>
      <c r="E754" t="s">
        <v>911</v>
      </c>
      <c r="F754" t="s">
        <v>918</v>
      </c>
      <c r="G754" t="s">
        <v>921</v>
      </c>
      <c r="H754">
        <v>5017.7299999999996</v>
      </c>
      <c r="I754">
        <v>11</v>
      </c>
      <c r="J754">
        <v>62</v>
      </c>
      <c r="K754" t="s">
        <v>925</v>
      </c>
      <c r="L754" t="str">
        <f>IF(ISBLANK(Table1[[#This Row],[CancelDate]]),"Active","Churned")</f>
        <v>Churned</v>
      </c>
      <c r="M754">
        <f ca="1">IF(ISBLANK(Table1[[#This Row],[CancelDate]]),DATEDIF(Table1[[#This Row],[JoinDate]],TODAY(),"M"),DATEDIF(Table1[[#This Row],[JoinDate]],Table1[[#This Row],[CancelDate]],"M"))</f>
        <v>4</v>
      </c>
      <c r="N754" t="str">
        <f>IF(Table1[[#This Row],[EngagementScore]]&lt;=40,"Low",IF(Table1[[#This Row],[EngagementScore]]&lt;=70,"Medium","High"))</f>
        <v>Medium</v>
      </c>
      <c r="O754" t="str">
        <f>IF(Table1[[#This Row],[Age]]&lt;25,"18-24",
IF(Table1[[#This Row],[Age]]&lt;35,"25-34",
IF(Table1[[#This Row],[Age]]&lt;45,"35-44","45+")))</f>
        <v>35-44</v>
      </c>
    </row>
    <row r="755" spans="1:15" x14ac:dyDescent="0.25">
      <c r="A755" t="s">
        <v>764</v>
      </c>
      <c r="B755" s="4">
        <v>45381</v>
      </c>
      <c r="C755" s="1">
        <v>45686</v>
      </c>
      <c r="D755">
        <v>28</v>
      </c>
      <c r="E755" t="s">
        <v>912</v>
      </c>
      <c r="F755" t="s">
        <v>914</v>
      </c>
      <c r="G755" t="s">
        <v>922</v>
      </c>
      <c r="H755">
        <v>11053.53</v>
      </c>
      <c r="I755">
        <v>12</v>
      </c>
      <c r="J755">
        <v>58</v>
      </c>
      <c r="K755" t="s">
        <v>923</v>
      </c>
      <c r="L755" t="str">
        <f>IF(ISBLANK(Table1[[#This Row],[CancelDate]]),"Active","Churned")</f>
        <v>Churned</v>
      </c>
      <c r="M755">
        <f ca="1">IF(ISBLANK(Table1[[#This Row],[CancelDate]]),DATEDIF(Table1[[#This Row],[JoinDate]],TODAY(),"M"),DATEDIF(Table1[[#This Row],[JoinDate]],Table1[[#This Row],[CancelDate]],"M"))</f>
        <v>9</v>
      </c>
      <c r="N755" t="str">
        <f>IF(Table1[[#This Row],[EngagementScore]]&lt;=40,"Low",IF(Table1[[#This Row],[EngagementScore]]&lt;=70,"Medium","High"))</f>
        <v>Medium</v>
      </c>
      <c r="O755" t="str">
        <f>IF(Table1[[#This Row],[Age]]&lt;25,"18-24",
IF(Table1[[#This Row],[Age]]&lt;35,"25-34",
IF(Table1[[#This Row],[Age]]&lt;45,"35-44","45+")))</f>
        <v>25-34</v>
      </c>
    </row>
    <row r="756" spans="1:15" x14ac:dyDescent="0.25">
      <c r="A756" t="s">
        <v>765</v>
      </c>
      <c r="B756" s="4">
        <v>45139</v>
      </c>
      <c r="C756" s="1">
        <v>45265</v>
      </c>
      <c r="D756">
        <v>42</v>
      </c>
      <c r="E756" t="s">
        <v>912</v>
      </c>
      <c r="F756" t="s">
        <v>914</v>
      </c>
      <c r="G756" t="s">
        <v>921</v>
      </c>
      <c r="H756">
        <v>5210.6000000000004</v>
      </c>
      <c r="I756">
        <v>2</v>
      </c>
      <c r="J756">
        <v>11</v>
      </c>
      <c r="K756" t="s">
        <v>925</v>
      </c>
      <c r="L756" t="str">
        <f>IF(ISBLANK(Table1[[#This Row],[CancelDate]]),"Active","Churned")</f>
        <v>Churned</v>
      </c>
      <c r="M756">
        <f ca="1">IF(ISBLANK(Table1[[#This Row],[CancelDate]]),DATEDIF(Table1[[#This Row],[JoinDate]],TODAY(),"M"),DATEDIF(Table1[[#This Row],[JoinDate]],Table1[[#This Row],[CancelDate]],"M"))</f>
        <v>4</v>
      </c>
      <c r="N756" t="str">
        <f>IF(Table1[[#This Row],[EngagementScore]]&lt;=40,"Low",IF(Table1[[#This Row],[EngagementScore]]&lt;=70,"Medium","High"))</f>
        <v>Low</v>
      </c>
      <c r="O756" t="str">
        <f>IF(Table1[[#This Row],[Age]]&lt;25,"18-24",
IF(Table1[[#This Row],[Age]]&lt;35,"25-34",
IF(Table1[[#This Row],[Age]]&lt;45,"35-44","45+")))</f>
        <v>35-44</v>
      </c>
    </row>
    <row r="757" spans="1:15" x14ac:dyDescent="0.25">
      <c r="A757" t="s">
        <v>766</v>
      </c>
      <c r="B757" s="4">
        <v>44594</v>
      </c>
      <c r="C757" s="1">
        <v>44859</v>
      </c>
      <c r="D757">
        <v>50</v>
      </c>
      <c r="E757" t="s">
        <v>911</v>
      </c>
      <c r="F757" t="s">
        <v>915</v>
      </c>
      <c r="G757" t="s">
        <v>922</v>
      </c>
      <c r="H757">
        <v>22460.89</v>
      </c>
      <c r="I757">
        <v>21</v>
      </c>
      <c r="J757">
        <v>80</v>
      </c>
      <c r="K757" t="s">
        <v>925</v>
      </c>
      <c r="L757" t="str">
        <f>IF(ISBLANK(Table1[[#This Row],[CancelDate]]),"Active","Churned")</f>
        <v>Churned</v>
      </c>
      <c r="M757">
        <f ca="1">IF(ISBLANK(Table1[[#This Row],[CancelDate]]),DATEDIF(Table1[[#This Row],[JoinDate]],TODAY(),"M"),DATEDIF(Table1[[#This Row],[JoinDate]],Table1[[#This Row],[CancelDate]],"M"))</f>
        <v>8</v>
      </c>
      <c r="N757" t="str">
        <f>IF(Table1[[#This Row],[EngagementScore]]&lt;=40,"Low",IF(Table1[[#This Row],[EngagementScore]]&lt;=70,"Medium","High"))</f>
        <v>High</v>
      </c>
      <c r="O757" t="str">
        <f>IF(Table1[[#This Row],[Age]]&lt;25,"18-24",
IF(Table1[[#This Row],[Age]]&lt;35,"25-34",
IF(Table1[[#This Row],[Age]]&lt;45,"35-44","45+")))</f>
        <v>45+</v>
      </c>
    </row>
    <row r="758" spans="1:15" x14ac:dyDescent="0.25">
      <c r="A758" t="s">
        <v>767</v>
      </c>
      <c r="B758" s="4">
        <v>44742</v>
      </c>
      <c r="C758" s="1">
        <v>45034</v>
      </c>
      <c r="D758">
        <v>23</v>
      </c>
      <c r="E758" t="s">
        <v>911</v>
      </c>
      <c r="F758" t="s">
        <v>915</v>
      </c>
      <c r="G758" t="s">
        <v>922</v>
      </c>
      <c r="H758">
        <v>7042.08</v>
      </c>
      <c r="I758">
        <v>3</v>
      </c>
      <c r="J758">
        <v>13</v>
      </c>
      <c r="K758" t="s">
        <v>913</v>
      </c>
      <c r="L758" t="str">
        <f>IF(ISBLANK(Table1[[#This Row],[CancelDate]]),"Active","Churned")</f>
        <v>Churned</v>
      </c>
      <c r="M758">
        <f ca="1">IF(ISBLANK(Table1[[#This Row],[CancelDate]]),DATEDIF(Table1[[#This Row],[JoinDate]],TODAY(),"M"),DATEDIF(Table1[[#This Row],[JoinDate]],Table1[[#This Row],[CancelDate]],"M"))</f>
        <v>9</v>
      </c>
      <c r="N758" t="str">
        <f>IF(Table1[[#This Row],[EngagementScore]]&lt;=40,"Low",IF(Table1[[#This Row],[EngagementScore]]&lt;=70,"Medium","High"))</f>
        <v>Low</v>
      </c>
      <c r="O758" t="str">
        <f>IF(Table1[[#This Row],[Age]]&lt;25,"18-24",
IF(Table1[[#This Row],[Age]]&lt;35,"25-34",
IF(Table1[[#This Row],[Age]]&lt;45,"35-44","45+")))</f>
        <v>18-24</v>
      </c>
    </row>
    <row r="759" spans="1:15" x14ac:dyDescent="0.25">
      <c r="A759" t="s">
        <v>768</v>
      </c>
      <c r="B759" s="4">
        <v>44933</v>
      </c>
      <c r="D759">
        <v>28</v>
      </c>
      <c r="E759" t="s">
        <v>912</v>
      </c>
      <c r="F759" t="s">
        <v>917</v>
      </c>
      <c r="G759" t="s">
        <v>920</v>
      </c>
      <c r="H759">
        <v>27273.66</v>
      </c>
      <c r="I759">
        <v>18</v>
      </c>
      <c r="J759">
        <v>81</v>
      </c>
      <c r="K759" t="s">
        <v>923</v>
      </c>
      <c r="L759" t="str">
        <f>IF(ISBLANK(Table1[[#This Row],[CancelDate]]),"Active","Churned")</f>
        <v>Active</v>
      </c>
      <c r="M759">
        <f ca="1">IF(ISBLANK(Table1[[#This Row],[CancelDate]]),DATEDIF(Table1[[#This Row],[JoinDate]],TODAY(),"M"),DATEDIF(Table1[[#This Row],[JoinDate]],Table1[[#This Row],[CancelDate]],"M"))</f>
        <v>38</v>
      </c>
      <c r="N759" t="str">
        <f>IF(Table1[[#This Row],[EngagementScore]]&lt;=40,"Low",IF(Table1[[#This Row],[EngagementScore]]&lt;=70,"Medium","High"))</f>
        <v>High</v>
      </c>
      <c r="O759" t="str">
        <f>IF(Table1[[#This Row],[Age]]&lt;25,"18-24",
IF(Table1[[#This Row],[Age]]&lt;35,"25-34",
IF(Table1[[#This Row],[Age]]&lt;45,"35-44","45+")))</f>
        <v>25-34</v>
      </c>
    </row>
    <row r="760" spans="1:15" x14ac:dyDescent="0.25">
      <c r="A760" t="s">
        <v>769</v>
      </c>
      <c r="B760" s="4">
        <v>45273</v>
      </c>
      <c r="C760" s="1">
        <v>45619</v>
      </c>
      <c r="D760">
        <v>22</v>
      </c>
      <c r="E760" t="s">
        <v>911</v>
      </c>
      <c r="F760" t="s">
        <v>916</v>
      </c>
      <c r="G760" t="s">
        <v>921</v>
      </c>
      <c r="H760">
        <v>4667.4799999999996</v>
      </c>
      <c r="I760">
        <v>5</v>
      </c>
      <c r="J760">
        <v>36</v>
      </c>
      <c r="K760" t="s">
        <v>925</v>
      </c>
      <c r="L760" t="str">
        <f>IF(ISBLANK(Table1[[#This Row],[CancelDate]]),"Active","Churned")</f>
        <v>Churned</v>
      </c>
      <c r="M760">
        <f ca="1">IF(ISBLANK(Table1[[#This Row],[CancelDate]]),DATEDIF(Table1[[#This Row],[JoinDate]],TODAY(),"M"),DATEDIF(Table1[[#This Row],[JoinDate]],Table1[[#This Row],[CancelDate]],"M"))</f>
        <v>11</v>
      </c>
      <c r="N760" t="str">
        <f>IF(Table1[[#This Row],[EngagementScore]]&lt;=40,"Low",IF(Table1[[#This Row],[EngagementScore]]&lt;=70,"Medium","High"))</f>
        <v>Low</v>
      </c>
      <c r="O760" t="str">
        <f>IF(Table1[[#This Row],[Age]]&lt;25,"18-24",
IF(Table1[[#This Row],[Age]]&lt;35,"25-34",
IF(Table1[[#This Row],[Age]]&lt;45,"35-44","45+")))</f>
        <v>18-24</v>
      </c>
    </row>
    <row r="761" spans="1:15" x14ac:dyDescent="0.25">
      <c r="A761" t="s">
        <v>770</v>
      </c>
      <c r="B761" s="4">
        <v>44591</v>
      </c>
      <c r="D761">
        <v>18</v>
      </c>
      <c r="E761" t="s">
        <v>911</v>
      </c>
      <c r="F761" t="s">
        <v>918</v>
      </c>
      <c r="G761" t="s">
        <v>922</v>
      </c>
      <c r="H761">
        <v>7457.45</v>
      </c>
      <c r="I761">
        <v>14</v>
      </c>
      <c r="J761">
        <v>40</v>
      </c>
      <c r="K761" t="s">
        <v>923</v>
      </c>
      <c r="L761" t="str">
        <f>IF(ISBLANK(Table1[[#This Row],[CancelDate]]),"Active","Churned")</f>
        <v>Active</v>
      </c>
      <c r="M761">
        <f ca="1">IF(ISBLANK(Table1[[#This Row],[CancelDate]]),DATEDIF(Table1[[#This Row],[JoinDate]],TODAY(),"M"),DATEDIF(Table1[[#This Row],[JoinDate]],Table1[[#This Row],[CancelDate]],"M"))</f>
        <v>50</v>
      </c>
      <c r="N761" t="str">
        <f>IF(Table1[[#This Row],[EngagementScore]]&lt;=40,"Low",IF(Table1[[#This Row],[EngagementScore]]&lt;=70,"Medium","High"))</f>
        <v>Low</v>
      </c>
      <c r="O761" t="str">
        <f>IF(Table1[[#This Row],[Age]]&lt;25,"18-24",
IF(Table1[[#This Row],[Age]]&lt;35,"25-34",
IF(Table1[[#This Row],[Age]]&lt;45,"35-44","45+")))</f>
        <v>18-24</v>
      </c>
    </row>
    <row r="762" spans="1:15" x14ac:dyDescent="0.25">
      <c r="A762" t="s">
        <v>771</v>
      </c>
      <c r="B762" s="4">
        <v>44638</v>
      </c>
      <c r="D762">
        <v>36</v>
      </c>
      <c r="E762" t="s">
        <v>912</v>
      </c>
      <c r="F762" t="s">
        <v>917</v>
      </c>
      <c r="G762" t="s">
        <v>921</v>
      </c>
      <c r="H762">
        <v>5193.51</v>
      </c>
      <c r="I762">
        <v>8</v>
      </c>
      <c r="J762">
        <v>40</v>
      </c>
      <c r="K762" t="s">
        <v>925</v>
      </c>
      <c r="L762" t="str">
        <f>IF(ISBLANK(Table1[[#This Row],[CancelDate]]),"Active","Churned")</f>
        <v>Active</v>
      </c>
      <c r="M762">
        <f ca="1">IF(ISBLANK(Table1[[#This Row],[CancelDate]]),DATEDIF(Table1[[#This Row],[JoinDate]],TODAY(),"M"),DATEDIF(Table1[[#This Row],[JoinDate]],Table1[[#This Row],[CancelDate]],"M"))</f>
        <v>48</v>
      </c>
      <c r="N762" t="str">
        <f>IF(Table1[[#This Row],[EngagementScore]]&lt;=40,"Low",IF(Table1[[#This Row],[EngagementScore]]&lt;=70,"Medium","High"))</f>
        <v>Low</v>
      </c>
      <c r="O762" t="str">
        <f>IF(Table1[[#This Row],[Age]]&lt;25,"18-24",
IF(Table1[[#This Row],[Age]]&lt;35,"25-34",
IF(Table1[[#This Row],[Age]]&lt;45,"35-44","45+")))</f>
        <v>35-44</v>
      </c>
    </row>
    <row r="763" spans="1:15" x14ac:dyDescent="0.25">
      <c r="A763" t="s">
        <v>772</v>
      </c>
      <c r="B763" s="4">
        <v>44918</v>
      </c>
      <c r="D763">
        <v>42</v>
      </c>
      <c r="E763" t="s">
        <v>911</v>
      </c>
      <c r="F763" t="s">
        <v>915</v>
      </c>
      <c r="G763" t="s">
        <v>921</v>
      </c>
      <c r="H763">
        <v>16151.29</v>
      </c>
      <c r="I763">
        <v>23</v>
      </c>
      <c r="J763">
        <v>79</v>
      </c>
      <c r="K763" t="s">
        <v>925</v>
      </c>
      <c r="L763" t="str">
        <f>IF(ISBLANK(Table1[[#This Row],[CancelDate]]),"Active","Churned")</f>
        <v>Active</v>
      </c>
      <c r="M763">
        <f ca="1">IF(ISBLANK(Table1[[#This Row],[CancelDate]]),DATEDIF(Table1[[#This Row],[JoinDate]],TODAY(),"M"),DATEDIF(Table1[[#This Row],[JoinDate]],Table1[[#This Row],[CancelDate]],"M"))</f>
        <v>39</v>
      </c>
      <c r="N763" t="str">
        <f>IF(Table1[[#This Row],[EngagementScore]]&lt;=40,"Low",IF(Table1[[#This Row],[EngagementScore]]&lt;=70,"Medium","High"))</f>
        <v>High</v>
      </c>
      <c r="O763" t="str">
        <f>IF(Table1[[#This Row],[Age]]&lt;25,"18-24",
IF(Table1[[#This Row],[Age]]&lt;35,"25-34",
IF(Table1[[#This Row],[Age]]&lt;45,"35-44","45+")))</f>
        <v>35-44</v>
      </c>
    </row>
    <row r="764" spans="1:15" x14ac:dyDescent="0.25">
      <c r="A764" t="s">
        <v>773</v>
      </c>
      <c r="B764" s="4">
        <v>44562</v>
      </c>
      <c r="D764">
        <v>56</v>
      </c>
      <c r="E764" t="s">
        <v>912</v>
      </c>
      <c r="F764" t="s">
        <v>914</v>
      </c>
      <c r="G764" t="s">
        <v>921</v>
      </c>
      <c r="H764">
        <v>12629.93</v>
      </c>
      <c r="I764">
        <v>24</v>
      </c>
      <c r="J764">
        <v>94</v>
      </c>
      <c r="K764" t="s">
        <v>923</v>
      </c>
      <c r="L764" t="str">
        <f>IF(ISBLANK(Table1[[#This Row],[CancelDate]]),"Active","Churned")</f>
        <v>Active</v>
      </c>
      <c r="M764">
        <f ca="1">IF(ISBLANK(Table1[[#This Row],[CancelDate]]),DATEDIF(Table1[[#This Row],[JoinDate]],TODAY(),"M"),DATEDIF(Table1[[#This Row],[JoinDate]],Table1[[#This Row],[CancelDate]],"M"))</f>
        <v>51</v>
      </c>
      <c r="N764" t="str">
        <f>IF(Table1[[#This Row],[EngagementScore]]&lt;=40,"Low",IF(Table1[[#This Row],[EngagementScore]]&lt;=70,"Medium","High"))</f>
        <v>High</v>
      </c>
      <c r="O764" t="str">
        <f>IF(Table1[[#This Row],[Age]]&lt;25,"18-24",
IF(Table1[[#This Row],[Age]]&lt;35,"25-34",
IF(Table1[[#This Row],[Age]]&lt;45,"35-44","45+")))</f>
        <v>45+</v>
      </c>
    </row>
    <row r="765" spans="1:15" x14ac:dyDescent="0.25">
      <c r="A765" t="s">
        <v>774</v>
      </c>
      <c r="B765" s="4">
        <v>44791</v>
      </c>
      <c r="D765">
        <v>18</v>
      </c>
      <c r="E765" t="s">
        <v>912</v>
      </c>
      <c r="F765" t="s">
        <v>919</v>
      </c>
      <c r="G765" t="s">
        <v>920</v>
      </c>
      <c r="H765">
        <v>10196.379999999999</v>
      </c>
      <c r="I765">
        <v>7</v>
      </c>
      <c r="J765">
        <v>63</v>
      </c>
      <c r="K765" t="s">
        <v>923</v>
      </c>
      <c r="L765" t="str">
        <f>IF(ISBLANK(Table1[[#This Row],[CancelDate]]),"Active","Churned")</f>
        <v>Active</v>
      </c>
      <c r="M765">
        <f ca="1">IF(ISBLANK(Table1[[#This Row],[CancelDate]]),DATEDIF(Table1[[#This Row],[JoinDate]],TODAY(),"M"),DATEDIF(Table1[[#This Row],[JoinDate]],Table1[[#This Row],[CancelDate]],"M"))</f>
        <v>43</v>
      </c>
      <c r="N765" t="str">
        <f>IF(Table1[[#This Row],[EngagementScore]]&lt;=40,"Low",IF(Table1[[#This Row],[EngagementScore]]&lt;=70,"Medium","High"))</f>
        <v>Medium</v>
      </c>
      <c r="O765" t="str">
        <f>IF(Table1[[#This Row],[Age]]&lt;25,"18-24",
IF(Table1[[#This Row],[Age]]&lt;35,"25-34",
IF(Table1[[#This Row],[Age]]&lt;45,"35-44","45+")))</f>
        <v>18-24</v>
      </c>
    </row>
    <row r="766" spans="1:15" x14ac:dyDescent="0.25">
      <c r="A766" t="s">
        <v>775</v>
      </c>
      <c r="B766" s="4">
        <v>44564</v>
      </c>
      <c r="C766" s="1">
        <v>44616</v>
      </c>
      <c r="D766">
        <v>18</v>
      </c>
      <c r="E766" t="s">
        <v>912</v>
      </c>
      <c r="F766" t="s">
        <v>917</v>
      </c>
      <c r="G766" t="s">
        <v>921</v>
      </c>
      <c r="H766">
        <v>3077.75</v>
      </c>
      <c r="I766">
        <v>7</v>
      </c>
      <c r="J766">
        <v>18</v>
      </c>
      <c r="K766" t="s">
        <v>913</v>
      </c>
      <c r="L766" t="str">
        <f>IF(ISBLANK(Table1[[#This Row],[CancelDate]]),"Active","Churned")</f>
        <v>Churned</v>
      </c>
      <c r="M766">
        <f ca="1">IF(ISBLANK(Table1[[#This Row],[CancelDate]]),DATEDIF(Table1[[#This Row],[JoinDate]],TODAY(),"M"),DATEDIF(Table1[[#This Row],[JoinDate]],Table1[[#This Row],[CancelDate]],"M"))</f>
        <v>1</v>
      </c>
      <c r="N766" t="str">
        <f>IF(Table1[[#This Row],[EngagementScore]]&lt;=40,"Low",IF(Table1[[#This Row],[EngagementScore]]&lt;=70,"Medium","High"))</f>
        <v>Low</v>
      </c>
      <c r="O766" t="str">
        <f>IF(Table1[[#This Row],[Age]]&lt;25,"18-24",
IF(Table1[[#This Row],[Age]]&lt;35,"25-34",
IF(Table1[[#This Row],[Age]]&lt;45,"35-44","45+")))</f>
        <v>18-24</v>
      </c>
    </row>
    <row r="767" spans="1:15" x14ac:dyDescent="0.25">
      <c r="A767" t="s">
        <v>776</v>
      </c>
      <c r="B767" s="4">
        <v>45377</v>
      </c>
      <c r="C767" s="1">
        <v>45420</v>
      </c>
      <c r="D767">
        <v>43</v>
      </c>
      <c r="E767" t="s">
        <v>912</v>
      </c>
      <c r="F767" t="s">
        <v>918</v>
      </c>
      <c r="G767" t="s">
        <v>922</v>
      </c>
      <c r="H767">
        <v>4311.6499999999996</v>
      </c>
      <c r="I767">
        <v>3</v>
      </c>
      <c r="J767">
        <v>24</v>
      </c>
      <c r="K767" t="s">
        <v>925</v>
      </c>
      <c r="L767" t="str">
        <f>IF(ISBLANK(Table1[[#This Row],[CancelDate]]),"Active","Churned")</f>
        <v>Churned</v>
      </c>
      <c r="M767">
        <f ca="1">IF(ISBLANK(Table1[[#This Row],[CancelDate]]),DATEDIF(Table1[[#This Row],[JoinDate]],TODAY(),"M"),DATEDIF(Table1[[#This Row],[JoinDate]],Table1[[#This Row],[CancelDate]],"M"))</f>
        <v>1</v>
      </c>
      <c r="N767" t="str">
        <f>IF(Table1[[#This Row],[EngagementScore]]&lt;=40,"Low",IF(Table1[[#This Row],[EngagementScore]]&lt;=70,"Medium","High"))</f>
        <v>Low</v>
      </c>
      <c r="O767" t="str">
        <f>IF(Table1[[#This Row],[Age]]&lt;25,"18-24",
IF(Table1[[#This Row],[Age]]&lt;35,"25-34",
IF(Table1[[#This Row],[Age]]&lt;45,"35-44","45+")))</f>
        <v>35-44</v>
      </c>
    </row>
    <row r="768" spans="1:15" x14ac:dyDescent="0.25">
      <c r="A768" t="s">
        <v>777</v>
      </c>
      <c r="B768" s="4">
        <v>44903</v>
      </c>
      <c r="C768" s="1">
        <v>45084</v>
      </c>
      <c r="D768">
        <v>27</v>
      </c>
      <c r="E768" t="s">
        <v>911</v>
      </c>
      <c r="F768" t="s">
        <v>919</v>
      </c>
      <c r="G768" t="s">
        <v>921</v>
      </c>
      <c r="H768">
        <v>7525.59</v>
      </c>
      <c r="I768">
        <v>6</v>
      </c>
      <c r="J768">
        <v>32</v>
      </c>
      <c r="K768" t="s">
        <v>925</v>
      </c>
      <c r="L768" t="str">
        <f>IF(ISBLANK(Table1[[#This Row],[CancelDate]]),"Active","Churned")</f>
        <v>Churned</v>
      </c>
      <c r="M768">
        <f ca="1">IF(ISBLANK(Table1[[#This Row],[CancelDate]]),DATEDIF(Table1[[#This Row],[JoinDate]],TODAY(),"M"),DATEDIF(Table1[[#This Row],[JoinDate]],Table1[[#This Row],[CancelDate]],"M"))</f>
        <v>5</v>
      </c>
      <c r="N768" t="str">
        <f>IF(Table1[[#This Row],[EngagementScore]]&lt;=40,"Low",IF(Table1[[#This Row],[EngagementScore]]&lt;=70,"Medium","High"))</f>
        <v>Low</v>
      </c>
      <c r="O768" t="str">
        <f>IF(Table1[[#This Row],[Age]]&lt;25,"18-24",
IF(Table1[[#This Row],[Age]]&lt;35,"25-34",
IF(Table1[[#This Row],[Age]]&lt;45,"35-44","45+")))</f>
        <v>25-34</v>
      </c>
    </row>
    <row r="769" spans="1:15" x14ac:dyDescent="0.25">
      <c r="A769" t="s">
        <v>778</v>
      </c>
      <c r="B769" s="4">
        <v>45352</v>
      </c>
      <c r="D769">
        <v>55</v>
      </c>
      <c r="E769" t="s">
        <v>912</v>
      </c>
      <c r="F769" t="s">
        <v>917</v>
      </c>
      <c r="G769" t="s">
        <v>920</v>
      </c>
      <c r="H769">
        <v>8246.27</v>
      </c>
      <c r="I769">
        <v>10</v>
      </c>
      <c r="J769">
        <v>67</v>
      </c>
      <c r="K769" t="s">
        <v>925</v>
      </c>
      <c r="L769" t="str">
        <f>IF(ISBLANK(Table1[[#This Row],[CancelDate]]),"Active","Churned")</f>
        <v>Active</v>
      </c>
      <c r="M769">
        <f ca="1">IF(ISBLANK(Table1[[#This Row],[CancelDate]]),DATEDIF(Table1[[#This Row],[JoinDate]],TODAY(),"M"),DATEDIF(Table1[[#This Row],[JoinDate]],Table1[[#This Row],[CancelDate]],"M"))</f>
        <v>25</v>
      </c>
      <c r="N769" t="str">
        <f>IF(Table1[[#This Row],[EngagementScore]]&lt;=40,"Low",IF(Table1[[#This Row],[EngagementScore]]&lt;=70,"Medium","High"))</f>
        <v>Medium</v>
      </c>
      <c r="O769" t="str">
        <f>IF(Table1[[#This Row],[Age]]&lt;25,"18-24",
IF(Table1[[#This Row],[Age]]&lt;35,"25-34",
IF(Table1[[#This Row],[Age]]&lt;45,"35-44","45+")))</f>
        <v>45+</v>
      </c>
    </row>
    <row r="770" spans="1:15" x14ac:dyDescent="0.25">
      <c r="A770" t="s">
        <v>779</v>
      </c>
      <c r="B770" s="4">
        <v>44891</v>
      </c>
      <c r="C770" s="1">
        <v>45191</v>
      </c>
      <c r="D770">
        <v>44</v>
      </c>
      <c r="E770" t="s">
        <v>912</v>
      </c>
      <c r="F770" t="s">
        <v>917</v>
      </c>
      <c r="G770" t="s">
        <v>922</v>
      </c>
      <c r="H770">
        <v>7669.77</v>
      </c>
      <c r="I770">
        <v>2</v>
      </c>
      <c r="J770">
        <v>15</v>
      </c>
      <c r="K770" t="s">
        <v>925</v>
      </c>
      <c r="L770" t="str">
        <f>IF(ISBLANK(Table1[[#This Row],[CancelDate]]),"Active","Churned")</f>
        <v>Churned</v>
      </c>
      <c r="M770">
        <f ca="1">IF(ISBLANK(Table1[[#This Row],[CancelDate]]),DATEDIF(Table1[[#This Row],[JoinDate]],TODAY(),"M"),DATEDIF(Table1[[#This Row],[JoinDate]],Table1[[#This Row],[CancelDate]],"M"))</f>
        <v>9</v>
      </c>
      <c r="N770" t="str">
        <f>IF(Table1[[#This Row],[EngagementScore]]&lt;=40,"Low",IF(Table1[[#This Row],[EngagementScore]]&lt;=70,"Medium","High"))</f>
        <v>Low</v>
      </c>
      <c r="O770" t="str">
        <f>IF(Table1[[#This Row],[Age]]&lt;25,"18-24",
IF(Table1[[#This Row],[Age]]&lt;35,"25-34",
IF(Table1[[#This Row],[Age]]&lt;45,"35-44","45+")))</f>
        <v>35-44</v>
      </c>
    </row>
    <row r="771" spans="1:15" x14ac:dyDescent="0.25">
      <c r="A771" t="s">
        <v>780</v>
      </c>
      <c r="B771" s="4">
        <v>45416</v>
      </c>
      <c r="D771">
        <v>52</v>
      </c>
      <c r="E771" t="s">
        <v>911</v>
      </c>
      <c r="F771" t="s">
        <v>916</v>
      </c>
      <c r="G771" t="s">
        <v>922</v>
      </c>
      <c r="H771">
        <v>5554.91</v>
      </c>
      <c r="I771">
        <v>5</v>
      </c>
      <c r="J771">
        <v>35</v>
      </c>
      <c r="K771" t="s">
        <v>925</v>
      </c>
      <c r="L771" t="str">
        <f>IF(ISBLANK(Table1[[#This Row],[CancelDate]]),"Active","Churned")</f>
        <v>Active</v>
      </c>
      <c r="M771">
        <f ca="1">IF(ISBLANK(Table1[[#This Row],[CancelDate]]),DATEDIF(Table1[[#This Row],[JoinDate]],TODAY(),"M"),DATEDIF(Table1[[#This Row],[JoinDate]],Table1[[#This Row],[CancelDate]],"M"))</f>
        <v>22</v>
      </c>
      <c r="N771" t="str">
        <f>IF(Table1[[#This Row],[EngagementScore]]&lt;=40,"Low",IF(Table1[[#This Row],[EngagementScore]]&lt;=70,"Medium","High"))</f>
        <v>Low</v>
      </c>
      <c r="O771" t="str">
        <f>IF(Table1[[#This Row],[Age]]&lt;25,"18-24",
IF(Table1[[#This Row],[Age]]&lt;35,"25-34",
IF(Table1[[#This Row],[Age]]&lt;45,"35-44","45+")))</f>
        <v>45+</v>
      </c>
    </row>
    <row r="772" spans="1:15" x14ac:dyDescent="0.25">
      <c r="A772" t="s">
        <v>781</v>
      </c>
      <c r="B772" s="4">
        <v>44681</v>
      </c>
      <c r="D772">
        <v>27</v>
      </c>
      <c r="E772" t="s">
        <v>911</v>
      </c>
      <c r="F772" t="s">
        <v>914</v>
      </c>
      <c r="G772" t="s">
        <v>921</v>
      </c>
      <c r="H772">
        <v>13303.18</v>
      </c>
      <c r="I772">
        <v>14</v>
      </c>
      <c r="J772">
        <v>47</v>
      </c>
      <c r="K772" t="s">
        <v>925</v>
      </c>
      <c r="L772" t="str">
        <f>IF(ISBLANK(Table1[[#This Row],[CancelDate]]),"Active","Churned")</f>
        <v>Active</v>
      </c>
      <c r="M772">
        <f ca="1">IF(ISBLANK(Table1[[#This Row],[CancelDate]]),DATEDIF(Table1[[#This Row],[JoinDate]],TODAY(),"M"),DATEDIF(Table1[[#This Row],[JoinDate]],Table1[[#This Row],[CancelDate]],"M"))</f>
        <v>47</v>
      </c>
      <c r="N772" t="str">
        <f>IF(Table1[[#This Row],[EngagementScore]]&lt;=40,"Low",IF(Table1[[#This Row],[EngagementScore]]&lt;=70,"Medium","High"))</f>
        <v>Medium</v>
      </c>
      <c r="O772" t="str">
        <f>IF(Table1[[#This Row],[Age]]&lt;25,"18-24",
IF(Table1[[#This Row],[Age]]&lt;35,"25-34",
IF(Table1[[#This Row],[Age]]&lt;45,"35-44","45+")))</f>
        <v>25-34</v>
      </c>
    </row>
    <row r="773" spans="1:15" x14ac:dyDescent="0.25">
      <c r="A773" t="s">
        <v>782</v>
      </c>
      <c r="B773" s="4">
        <v>44999</v>
      </c>
      <c r="D773">
        <v>37</v>
      </c>
      <c r="E773" t="s">
        <v>911</v>
      </c>
      <c r="F773" t="s">
        <v>914</v>
      </c>
      <c r="G773" t="s">
        <v>921</v>
      </c>
      <c r="H773">
        <v>13486.9</v>
      </c>
      <c r="I773">
        <v>7</v>
      </c>
      <c r="J773">
        <v>52</v>
      </c>
      <c r="K773" t="s">
        <v>925</v>
      </c>
      <c r="L773" t="str">
        <f>IF(ISBLANK(Table1[[#This Row],[CancelDate]]),"Active","Churned")</f>
        <v>Active</v>
      </c>
      <c r="M773">
        <f ca="1">IF(ISBLANK(Table1[[#This Row],[CancelDate]]),DATEDIF(Table1[[#This Row],[JoinDate]],TODAY(),"M"),DATEDIF(Table1[[#This Row],[JoinDate]],Table1[[#This Row],[CancelDate]],"M"))</f>
        <v>36</v>
      </c>
      <c r="N773" t="str">
        <f>IF(Table1[[#This Row],[EngagementScore]]&lt;=40,"Low",IF(Table1[[#This Row],[EngagementScore]]&lt;=70,"Medium","High"))</f>
        <v>Medium</v>
      </c>
      <c r="O773" t="str">
        <f>IF(Table1[[#This Row],[Age]]&lt;25,"18-24",
IF(Table1[[#This Row],[Age]]&lt;35,"25-34",
IF(Table1[[#This Row],[Age]]&lt;45,"35-44","45+")))</f>
        <v>35-44</v>
      </c>
    </row>
    <row r="774" spans="1:15" x14ac:dyDescent="0.25">
      <c r="A774" t="s">
        <v>783</v>
      </c>
      <c r="B774" s="4">
        <v>45417</v>
      </c>
      <c r="D774">
        <v>55</v>
      </c>
      <c r="E774" t="s">
        <v>912</v>
      </c>
      <c r="F774" t="s">
        <v>918</v>
      </c>
      <c r="G774" t="s">
        <v>921</v>
      </c>
      <c r="H774">
        <v>4547.54</v>
      </c>
      <c r="I774">
        <v>7</v>
      </c>
      <c r="J774">
        <v>27</v>
      </c>
      <c r="K774" t="s">
        <v>924</v>
      </c>
      <c r="L774" t="str">
        <f>IF(ISBLANK(Table1[[#This Row],[CancelDate]]),"Active","Churned")</f>
        <v>Active</v>
      </c>
      <c r="M774">
        <f ca="1">IF(ISBLANK(Table1[[#This Row],[CancelDate]]),DATEDIF(Table1[[#This Row],[JoinDate]],TODAY(),"M"),DATEDIF(Table1[[#This Row],[JoinDate]],Table1[[#This Row],[CancelDate]],"M"))</f>
        <v>22</v>
      </c>
      <c r="N774" t="str">
        <f>IF(Table1[[#This Row],[EngagementScore]]&lt;=40,"Low",IF(Table1[[#This Row],[EngagementScore]]&lt;=70,"Medium","High"))</f>
        <v>Low</v>
      </c>
      <c r="O774" t="str">
        <f>IF(Table1[[#This Row],[Age]]&lt;25,"18-24",
IF(Table1[[#This Row],[Age]]&lt;35,"25-34",
IF(Table1[[#This Row],[Age]]&lt;45,"35-44","45+")))</f>
        <v>45+</v>
      </c>
    </row>
    <row r="775" spans="1:15" x14ac:dyDescent="0.25">
      <c r="A775" t="s">
        <v>784</v>
      </c>
      <c r="B775" s="4">
        <v>44614</v>
      </c>
      <c r="D775">
        <v>34</v>
      </c>
      <c r="E775" t="s">
        <v>911</v>
      </c>
      <c r="F775" t="s">
        <v>917</v>
      </c>
      <c r="G775" t="s">
        <v>922</v>
      </c>
      <c r="H775">
        <v>22005.43</v>
      </c>
      <c r="I775">
        <v>29</v>
      </c>
      <c r="J775">
        <v>75</v>
      </c>
      <c r="K775" t="s">
        <v>924</v>
      </c>
      <c r="L775" t="str">
        <f>IF(ISBLANK(Table1[[#This Row],[CancelDate]]),"Active","Churned")</f>
        <v>Active</v>
      </c>
      <c r="M775">
        <f ca="1">IF(ISBLANK(Table1[[#This Row],[CancelDate]]),DATEDIF(Table1[[#This Row],[JoinDate]],TODAY(),"M"),DATEDIF(Table1[[#This Row],[JoinDate]],Table1[[#This Row],[CancelDate]],"M"))</f>
        <v>49</v>
      </c>
      <c r="N775" t="str">
        <f>IF(Table1[[#This Row],[EngagementScore]]&lt;=40,"Low",IF(Table1[[#This Row],[EngagementScore]]&lt;=70,"Medium","High"))</f>
        <v>High</v>
      </c>
      <c r="O775" t="str">
        <f>IF(Table1[[#This Row],[Age]]&lt;25,"18-24",
IF(Table1[[#This Row],[Age]]&lt;35,"25-34",
IF(Table1[[#This Row],[Age]]&lt;45,"35-44","45+")))</f>
        <v>25-34</v>
      </c>
    </row>
    <row r="776" spans="1:15" x14ac:dyDescent="0.25">
      <c r="A776" t="s">
        <v>785</v>
      </c>
      <c r="B776" s="4">
        <v>45340</v>
      </c>
      <c r="C776" s="1">
        <v>45373</v>
      </c>
      <c r="D776">
        <v>39</v>
      </c>
      <c r="E776" t="s">
        <v>912</v>
      </c>
      <c r="F776" t="s">
        <v>916</v>
      </c>
      <c r="G776" t="s">
        <v>921</v>
      </c>
      <c r="H776">
        <v>7731.15</v>
      </c>
      <c r="I776">
        <v>7</v>
      </c>
      <c r="J776">
        <v>27</v>
      </c>
      <c r="K776" t="s">
        <v>925</v>
      </c>
      <c r="L776" t="str">
        <f>IF(ISBLANK(Table1[[#This Row],[CancelDate]]),"Active","Churned")</f>
        <v>Churned</v>
      </c>
      <c r="M776">
        <f ca="1">IF(ISBLANK(Table1[[#This Row],[CancelDate]]),DATEDIF(Table1[[#This Row],[JoinDate]],TODAY(),"M"),DATEDIF(Table1[[#This Row],[JoinDate]],Table1[[#This Row],[CancelDate]],"M"))</f>
        <v>1</v>
      </c>
      <c r="N776" t="str">
        <f>IF(Table1[[#This Row],[EngagementScore]]&lt;=40,"Low",IF(Table1[[#This Row],[EngagementScore]]&lt;=70,"Medium","High"))</f>
        <v>Low</v>
      </c>
      <c r="O776" t="str">
        <f>IF(Table1[[#This Row],[Age]]&lt;25,"18-24",
IF(Table1[[#This Row],[Age]]&lt;35,"25-34",
IF(Table1[[#This Row],[Age]]&lt;45,"35-44","45+")))</f>
        <v>35-44</v>
      </c>
    </row>
    <row r="777" spans="1:15" x14ac:dyDescent="0.25">
      <c r="A777" t="s">
        <v>786</v>
      </c>
      <c r="B777" s="4">
        <v>44698</v>
      </c>
      <c r="C777" s="1">
        <v>44779</v>
      </c>
      <c r="D777">
        <v>48</v>
      </c>
      <c r="E777" t="s">
        <v>912</v>
      </c>
      <c r="F777" t="s">
        <v>916</v>
      </c>
      <c r="G777" t="s">
        <v>920</v>
      </c>
      <c r="H777">
        <v>7664.12</v>
      </c>
      <c r="I777">
        <v>1</v>
      </c>
      <c r="J777">
        <v>37</v>
      </c>
      <c r="K777" t="s">
        <v>925</v>
      </c>
      <c r="L777" t="str">
        <f>IF(ISBLANK(Table1[[#This Row],[CancelDate]]),"Active","Churned")</f>
        <v>Churned</v>
      </c>
      <c r="M777">
        <f ca="1">IF(ISBLANK(Table1[[#This Row],[CancelDate]]),DATEDIF(Table1[[#This Row],[JoinDate]],TODAY(),"M"),DATEDIF(Table1[[#This Row],[JoinDate]],Table1[[#This Row],[CancelDate]],"M"))</f>
        <v>2</v>
      </c>
      <c r="N777" t="str">
        <f>IF(Table1[[#This Row],[EngagementScore]]&lt;=40,"Low",IF(Table1[[#This Row],[EngagementScore]]&lt;=70,"Medium","High"))</f>
        <v>Low</v>
      </c>
      <c r="O777" t="str">
        <f>IF(Table1[[#This Row],[Age]]&lt;25,"18-24",
IF(Table1[[#This Row],[Age]]&lt;35,"25-34",
IF(Table1[[#This Row],[Age]]&lt;45,"35-44","45+")))</f>
        <v>45+</v>
      </c>
    </row>
    <row r="778" spans="1:15" x14ac:dyDescent="0.25">
      <c r="A778" t="s">
        <v>787</v>
      </c>
      <c r="B778" s="4">
        <v>45405</v>
      </c>
      <c r="D778">
        <v>23</v>
      </c>
      <c r="E778" t="s">
        <v>912</v>
      </c>
      <c r="F778" t="s">
        <v>918</v>
      </c>
      <c r="G778" t="s">
        <v>921</v>
      </c>
      <c r="H778">
        <v>17792.5</v>
      </c>
      <c r="I778">
        <v>23</v>
      </c>
      <c r="J778">
        <v>94</v>
      </c>
      <c r="K778" t="s">
        <v>924</v>
      </c>
      <c r="L778" t="str">
        <f>IF(ISBLANK(Table1[[#This Row],[CancelDate]]),"Active","Churned")</f>
        <v>Active</v>
      </c>
      <c r="M778">
        <f ca="1">IF(ISBLANK(Table1[[#This Row],[CancelDate]]),DATEDIF(Table1[[#This Row],[JoinDate]],TODAY(),"M"),DATEDIF(Table1[[#This Row],[JoinDate]],Table1[[#This Row],[CancelDate]],"M"))</f>
        <v>23</v>
      </c>
      <c r="N778" t="str">
        <f>IF(Table1[[#This Row],[EngagementScore]]&lt;=40,"Low",IF(Table1[[#This Row],[EngagementScore]]&lt;=70,"Medium","High"))</f>
        <v>High</v>
      </c>
      <c r="O778" t="str">
        <f>IF(Table1[[#This Row],[Age]]&lt;25,"18-24",
IF(Table1[[#This Row],[Age]]&lt;35,"25-34",
IF(Table1[[#This Row],[Age]]&lt;45,"35-44","45+")))</f>
        <v>18-24</v>
      </c>
    </row>
    <row r="779" spans="1:15" x14ac:dyDescent="0.25">
      <c r="A779" t="s">
        <v>788</v>
      </c>
      <c r="B779" s="4">
        <v>45193</v>
      </c>
      <c r="D779">
        <v>45</v>
      </c>
      <c r="E779" t="s">
        <v>912</v>
      </c>
      <c r="F779" t="s">
        <v>914</v>
      </c>
      <c r="G779" t="s">
        <v>920</v>
      </c>
      <c r="H779">
        <v>28601.99</v>
      </c>
      <c r="I779">
        <v>17</v>
      </c>
      <c r="J779">
        <v>98</v>
      </c>
      <c r="K779" t="s">
        <v>923</v>
      </c>
      <c r="L779" t="str">
        <f>IF(ISBLANK(Table1[[#This Row],[CancelDate]]),"Active","Churned")</f>
        <v>Active</v>
      </c>
      <c r="M779">
        <f ca="1">IF(ISBLANK(Table1[[#This Row],[CancelDate]]),DATEDIF(Table1[[#This Row],[JoinDate]],TODAY(),"M"),DATEDIF(Table1[[#This Row],[JoinDate]],Table1[[#This Row],[CancelDate]],"M"))</f>
        <v>30</v>
      </c>
      <c r="N779" t="str">
        <f>IF(Table1[[#This Row],[EngagementScore]]&lt;=40,"Low",IF(Table1[[#This Row],[EngagementScore]]&lt;=70,"Medium","High"))</f>
        <v>High</v>
      </c>
      <c r="O779" t="str">
        <f>IF(Table1[[#This Row],[Age]]&lt;25,"18-24",
IF(Table1[[#This Row],[Age]]&lt;35,"25-34",
IF(Table1[[#This Row],[Age]]&lt;45,"35-44","45+")))</f>
        <v>45+</v>
      </c>
    </row>
    <row r="780" spans="1:15" x14ac:dyDescent="0.25">
      <c r="A780" t="s">
        <v>789</v>
      </c>
      <c r="B780" s="4">
        <v>44857</v>
      </c>
      <c r="D780">
        <v>56</v>
      </c>
      <c r="E780" t="s">
        <v>911</v>
      </c>
      <c r="F780" t="s">
        <v>914</v>
      </c>
      <c r="G780" t="s">
        <v>921</v>
      </c>
      <c r="H780">
        <v>24911.89</v>
      </c>
      <c r="I780">
        <v>20</v>
      </c>
      <c r="J780">
        <v>82</v>
      </c>
      <c r="K780" t="s">
        <v>924</v>
      </c>
      <c r="L780" t="str">
        <f>IF(ISBLANK(Table1[[#This Row],[CancelDate]]),"Active","Churned")</f>
        <v>Active</v>
      </c>
      <c r="M780">
        <f ca="1">IF(ISBLANK(Table1[[#This Row],[CancelDate]]),DATEDIF(Table1[[#This Row],[JoinDate]],TODAY(),"M"),DATEDIF(Table1[[#This Row],[JoinDate]],Table1[[#This Row],[CancelDate]],"M"))</f>
        <v>41</v>
      </c>
      <c r="N780" t="str">
        <f>IF(Table1[[#This Row],[EngagementScore]]&lt;=40,"Low",IF(Table1[[#This Row],[EngagementScore]]&lt;=70,"Medium","High"))</f>
        <v>High</v>
      </c>
      <c r="O780" t="str">
        <f>IF(Table1[[#This Row],[Age]]&lt;25,"18-24",
IF(Table1[[#This Row],[Age]]&lt;35,"25-34",
IF(Table1[[#This Row],[Age]]&lt;45,"35-44","45+")))</f>
        <v>45+</v>
      </c>
    </row>
    <row r="781" spans="1:15" x14ac:dyDescent="0.25">
      <c r="A781" t="s">
        <v>790</v>
      </c>
      <c r="B781" s="4">
        <v>45386</v>
      </c>
      <c r="C781" s="1">
        <v>45572</v>
      </c>
      <c r="D781">
        <v>23</v>
      </c>
      <c r="E781" t="s">
        <v>911</v>
      </c>
      <c r="F781" t="s">
        <v>914</v>
      </c>
      <c r="G781" t="s">
        <v>921</v>
      </c>
      <c r="H781">
        <v>5113.8500000000004</v>
      </c>
      <c r="I781">
        <v>8</v>
      </c>
      <c r="J781">
        <v>58</v>
      </c>
      <c r="K781" t="s">
        <v>925</v>
      </c>
      <c r="L781" t="str">
        <f>IF(ISBLANK(Table1[[#This Row],[CancelDate]]),"Active","Churned")</f>
        <v>Churned</v>
      </c>
      <c r="M781">
        <f ca="1">IF(ISBLANK(Table1[[#This Row],[CancelDate]]),DATEDIF(Table1[[#This Row],[JoinDate]],TODAY(),"M"),DATEDIF(Table1[[#This Row],[JoinDate]],Table1[[#This Row],[CancelDate]],"M"))</f>
        <v>6</v>
      </c>
      <c r="N781" t="str">
        <f>IF(Table1[[#This Row],[EngagementScore]]&lt;=40,"Low",IF(Table1[[#This Row],[EngagementScore]]&lt;=70,"Medium","High"))</f>
        <v>Medium</v>
      </c>
      <c r="O781" t="str">
        <f>IF(Table1[[#This Row],[Age]]&lt;25,"18-24",
IF(Table1[[#This Row],[Age]]&lt;35,"25-34",
IF(Table1[[#This Row],[Age]]&lt;45,"35-44","45+")))</f>
        <v>18-24</v>
      </c>
    </row>
    <row r="782" spans="1:15" x14ac:dyDescent="0.25">
      <c r="A782" t="s">
        <v>791</v>
      </c>
      <c r="B782" s="4">
        <v>44885</v>
      </c>
      <c r="D782">
        <v>31</v>
      </c>
      <c r="E782" t="s">
        <v>911</v>
      </c>
      <c r="F782" t="s">
        <v>918</v>
      </c>
      <c r="G782" t="s">
        <v>921</v>
      </c>
      <c r="H782">
        <v>21796</v>
      </c>
      <c r="I782">
        <v>20</v>
      </c>
      <c r="J782">
        <v>91</v>
      </c>
      <c r="K782" t="s">
        <v>925</v>
      </c>
      <c r="L782" t="str">
        <f>IF(ISBLANK(Table1[[#This Row],[CancelDate]]),"Active","Churned")</f>
        <v>Active</v>
      </c>
      <c r="M782">
        <f ca="1">IF(ISBLANK(Table1[[#This Row],[CancelDate]]),DATEDIF(Table1[[#This Row],[JoinDate]],TODAY(),"M"),DATEDIF(Table1[[#This Row],[JoinDate]],Table1[[#This Row],[CancelDate]],"M"))</f>
        <v>40</v>
      </c>
      <c r="N782" t="str">
        <f>IF(Table1[[#This Row],[EngagementScore]]&lt;=40,"Low",IF(Table1[[#This Row],[EngagementScore]]&lt;=70,"Medium","High"))</f>
        <v>High</v>
      </c>
      <c r="O782" t="str">
        <f>IF(Table1[[#This Row],[Age]]&lt;25,"18-24",
IF(Table1[[#This Row],[Age]]&lt;35,"25-34",
IF(Table1[[#This Row],[Age]]&lt;45,"35-44","45+")))</f>
        <v>25-34</v>
      </c>
    </row>
    <row r="783" spans="1:15" x14ac:dyDescent="0.25">
      <c r="A783" t="s">
        <v>792</v>
      </c>
      <c r="B783" s="4">
        <v>45057</v>
      </c>
      <c r="D783">
        <v>21</v>
      </c>
      <c r="E783" t="s">
        <v>912</v>
      </c>
      <c r="F783" t="s">
        <v>915</v>
      </c>
      <c r="G783" t="s">
        <v>921</v>
      </c>
      <c r="H783">
        <v>10245.11</v>
      </c>
      <c r="I783">
        <v>10</v>
      </c>
      <c r="J783">
        <v>69</v>
      </c>
      <c r="K783" t="s">
        <v>925</v>
      </c>
      <c r="L783" t="str">
        <f>IF(ISBLANK(Table1[[#This Row],[CancelDate]]),"Active","Churned")</f>
        <v>Active</v>
      </c>
      <c r="M783">
        <f ca="1">IF(ISBLANK(Table1[[#This Row],[CancelDate]]),DATEDIF(Table1[[#This Row],[JoinDate]],TODAY(),"M"),DATEDIF(Table1[[#This Row],[JoinDate]],Table1[[#This Row],[CancelDate]],"M"))</f>
        <v>34</v>
      </c>
      <c r="N783" t="str">
        <f>IF(Table1[[#This Row],[EngagementScore]]&lt;=40,"Low",IF(Table1[[#This Row],[EngagementScore]]&lt;=70,"Medium","High"))</f>
        <v>Medium</v>
      </c>
      <c r="O783" t="str">
        <f>IF(Table1[[#This Row],[Age]]&lt;25,"18-24",
IF(Table1[[#This Row],[Age]]&lt;35,"25-34",
IF(Table1[[#This Row],[Age]]&lt;45,"35-44","45+")))</f>
        <v>18-24</v>
      </c>
    </row>
    <row r="784" spans="1:15" x14ac:dyDescent="0.25">
      <c r="A784" t="s">
        <v>793</v>
      </c>
      <c r="B784" s="4">
        <v>45189</v>
      </c>
      <c r="D784">
        <v>37</v>
      </c>
      <c r="E784" t="s">
        <v>911</v>
      </c>
      <c r="F784" t="s">
        <v>919</v>
      </c>
      <c r="G784" t="s">
        <v>920</v>
      </c>
      <c r="H784">
        <v>20860.830000000002</v>
      </c>
      <c r="I784">
        <v>27</v>
      </c>
      <c r="J784">
        <v>72</v>
      </c>
      <c r="K784" t="s">
        <v>925</v>
      </c>
      <c r="L784" t="str">
        <f>IF(ISBLANK(Table1[[#This Row],[CancelDate]]),"Active","Churned")</f>
        <v>Active</v>
      </c>
      <c r="M784">
        <f ca="1">IF(ISBLANK(Table1[[#This Row],[CancelDate]]),DATEDIF(Table1[[#This Row],[JoinDate]],TODAY(),"M"),DATEDIF(Table1[[#This Row],[JoinDate]],Table1[[#This Row],[CancelDate]],"M"))</f>
        <v>30</v>
      </c>
      <c r="N784" t="str">
        <f>IF(Table1[[#This Row],[EngagementScore]]&lt;=40,"Low",IF(Table1[[#This Row],[EngagementScore]]&lt;=70,"Medium","High"))</f>
        <v>High</v>
      </c>
      <c r="O784" t="str">
        <f>IF(Table1[[#This Row],[Age]]&lt;25,"18-24",
IF(Table1[[#This Row],[Age]]&lt;35,"25-34",
IF(Table1[[#This Row],[Age]]&lt;45,"35-44","45+")))</f>
        <v>35-44</v>
      </c>
    </row>
    <row r="785" spans="1:15" x14ac:dyDescent="0.25">
      <c r="A785" t="s">
        <v>794</v>
      </c>
      <c r="B785" s="4">
        <v>45401</v>
      </c>
      <c r="D785">
        <v>27</v>
      </c>
      <c r="E785" t="s">
        <v>911</v>
      </c>
      <c r="F785" t="s">
        <v>919</v>
      </c>
      <c r="G785" t="s">
        <v>922</v>
      </c>
      <c r="H785">
        <v>7561.04</v>
      </c>
      <c r="I785">
        <v>11</v>
      </c>
      <c r="J785">
        <v>49</v>
      </c>
      <c r="K785" t="s">
        <v>923</v>
      </c>
      <c r="L785" t="str">
        <f>IF(ISBLANK(Table1[[#This Row],[CancelDate]]),"Active","Churned")</f>
        <v>Active</v>
      </c>
      <c r="M785">
        <f ca="1">IF(ISBLANK(Table1[[#This Row],[CancelDate]]),DATEDIF(Table1[[#This Row],[JoinDate]],TODAY(),"M"),DATEDIF(Table1[[#This Row],[JoinDate]],Table1[[#This Row],[CancelDate]],"M"))</f>
        <v>23</v>
      </c>
      <c r="N785" t="str">
        <f>IF(Table1[[#This Row],[EngagementScore]]&lt;=40,"Low",IF(Table1[[#This Row],[EngagementScore]]&lt;=70,"Medium","High"))</f>
        <v>Medium</v>
      </c>
      <c r="O785" t="str">
        <f>IF(Table1[[#This Row],[Age]]&lt;25,"18-24",
IF(Table1[[#This Row],[Age]]&lt;35,"25-34",
IF(Table1[[#This Row],[Age]]&lt;45,"35-44","45+")))</f>
        <v>25-34</v>
      </c>
    </row>
    <row r="786" spans="1:15" x14ac:dyDescent="0.25">
      <c r="A786" t="s">
        <v>795</v>
      </c>
      <c r="B786" s="4">
        <v>45186</v>
      </c>
      <c r="D786">
        <v>28</v>
      </c>
      <c r="E786" t="s">
        <v>911</v>
      </c>
      <c r="F786" t="s">
        <v>916</v>
      </c>
      <c r="G786" t="s">
        <v>922</v>
      </c>
      <c r="H786">
        <v>16817.509999999998</v>
      </c>
      <c r="I786">
        <v>20</v>
      </c>
      <c r="J786">
        <v>82</v>
      </c>
      <c r="K786" t="s">
        <v>923</v>
      </c>
      <c r="L786" t="str">
        <f>IF(ISBLANK(Table1[[#This Row],[CancelDate]]),"Active","Churned")</f>
        <v>Active</v>
      </c>
      <c r="M786">
        <f ca="1">IF(ISBLANK(Table1[[#This Row],[CancelDate]]),DATEDIF(Table1[[#This Row],[JoinDate]],TODAY(),"M"),DATEDIF(Table1[[#This Row],[JoinDate]],Table1[[#This Row],[CancelDate]],"M"))</f>
        <v>30</v>
      </c>
      <c r="N786" t="str">
        <f>IF(Table1[[#This Row],[EngagementScore]]&lt;=40,"Low",IF(Table1[[#This Row],[EngagementScore]]&lt;=70,"Medium","High"))</f>
        <v>High</v>
      </c>
      <c r="O786" t="str">
        <f>IF(Table1[[#This Row],[Age]]&lt;25,"18-24",
IF(Table1[[#This Row],[Age]]&lt;35,"25-34",
IF(Table1[[#This Row],[Age]]&lt;45,"35-44","45+")))</f>
        <v>25-34</v>
      </c>
    </row>
    <row r="787" spans="1:15" x14ac:dyDescent="0.25">
      <c r="A787" t="s">
        <v>796</v>
      </c>
      <c r="B787" s="4">
        <v>45346</v>
      </c>
      <c r="C787" s="1">
        <v>45543</v>
      </c>
      <c r="D787">
        <v>56</v>
      </c>
      <c r="E787" t="s">
        <v>913</v>
      </c>
      <c r="F787" t="s">
        <v>915</v>
      </c>
      <c r="G787" t="s">
        <v>921</v>
      </c>
      <c r="H787">
        <v>7436.07</v>
      </c>
      <c r="I787">
        <v>3</v>
      </c>
      <c r="J787">
        <v>38</v>
      </c>
      <c r="K787" t="s">
        <v>925</v>
      </c>
      <c r="L787" t="str">
        <f>IF(ISBLANK(Table1[[#This Row],[CancelDate]]),"Active","Churned")</f>
        <v>Churned</v>
      </c>
      <c r="M787">
        <f ca="1">IF(ISBLANK(Table1[[#This Row],[CancelDate]]),DATEDIF(Table1[[#This Row],[JoinDate]],TODAY(),"M"),DATEDIF(Table1[[#This Row],[JoinDate]],Table1[[#This Row],[CancelDate]],"M"))</f>
        <v>6</v>
      </c>
      <c r="N787" t="str">
        <f>IF(Table1[[#This Row],[EngagementScore]]&lt;=40,"Low",IF(Table1[[#This Row],[EngagementScore]]&lt;=70,"Medium","High"))</f>
        <v>Low</v>
      </c>
      <c r="O787" t="str">
        <f>IF(Table1[[#This Row],[Age]]&lt;25,"18-24",
IF(Table1[[#This Row],[Age]]&lt;35,"25-34",
IF(Table1[[#This Row],[Age]]&lt;45,"35-44","45+")))</f>
        <v>45+</v>
      </c>
    </row>
    <row r="788" spans="1:15" x14ac:dyDescent="0.25">
      <c r="A788" t="s">
        <v>797</v>
      </c>
      <c r="B788" s="4">
        <v>45144</v>
      </c>
      <c r="C788" s="1">
        <v>45412</v>
      </c>
      <c r="D788">
        <v>43</v>
      </c>
      <c r="E788" t="s">
        <v>912</v>
      </c>
      <c r="F788" t="s">
        <v>919</v>
      </c>
      <c r="G788" t="s">
        <v>921</v>
      </c>
      <c r="H788">
        <v>3959.12</v>
      </c>
      <c r="I788">
        <v>2</v>
      </c>
      <c r="J788">
        <v>10</v>
      </c>
      <c r="K788" t="s">
        <v>924</v>
      </c>
      <c r="L788" t="str">
        <f>IF(ISBLANK(Table1[[#This Row],[CancelDate]]),"Active","Churned")</f>
        <v>Churned</v>
      </c>
      <c r="M788">
        <f ca="1">IF(ISBLANK(Table1[[#This Row],[CancelDate]]),DATEDIF(Table1[[#This Row],[JoinDate]],TODAY(),"M"),DATEDIF(Table1[[#This Row],[JoinDate]],Table1[[#This Row],[CancelDate]],"M"))</f>
        <v>8</v>
      </c>
      <c r="N788" t="str">
        <f>IF(Table1[[#This Row],[EngagementScore]]&lt;=40,"Low",IF(Table1[[#This Row],[EngagementScore]]&lt;=70,"Medium","High"))</f>
        <v>Low</v>
      </c>
      <c r="O788" t="str">
        <f>IF(Table1[[#This Row],[Age]]&lt;25,"18-24",
IF(Table1[[#This Row],[Age]]&lt;35,"25-34",
IF(Table1[[#This Row],[Age]]&lt;45,"35-44","45+")))</f>
        <v>35-44</v>
      </c>
    </row>
    <row r="789" spans="1:15" x14ac:dyDescent="0.25">
      <c r="A789" t="s">
        <v>798</v>
      </c>
      <c r="B789" s="4">
        <v>45337</v>
      </c>
      <c r="C789" s="1">
        <v>45367</v>
      </c>
      <c r="D789">
        <v>54</v>
      </c>
      <c r="E789" t="s">
        <v>911</v>
      </c>
      <c r="F789" t="s">
        <v>917</v>
      </c>
      <c r="G789" t="s">
        <v>921</v>
      </c>
      <c r="H789">
        <v>5748.96</v>
      </c>
      <c r="I789">
        <v>1</v>
      </c>
      <c r="J789">
        <v>12</v>
      </c>
      <c r="K789" t="s">
        <v>923</v>
      </c>
      <c r="L789" t="str">
        <f>IF(ISBLANK(Table1[[#This Row],[CancelDate]]),"Active","Churned")</f>
        <v>Churned</v>
      </c>
      <c r="M789">
        <f ca="1">IF(ISBLANK(Table1[[#This Row],[CancelDate]]),DATEDIF(Table1[[#This Row],[JoinDate]],TODAY(),"M"),DATEDIF(Table1[[#This Row],[JoinDate]],Table1[[#This Row],[CancelDate]],"M"))</f>
        <v>1</v>
      </c>
      <c r="N789" t="str">
        <f>IF(Table1[[#This Row],[EngagementScore]]&lt;=40,"Low",IF(Table1[[#This Row],[EngagementScore]]&lt;=70,"Medium","High"))</f>
        <v>Low</v>
      </c>
      <c r="O789" t="str">
        <f>IF(Table1[[#This Row],[Age]]&lt;25,"18-24",
IF(Table1[[#This Row],[Age]]&lt;35,"25-34",
IF(Table1[[#This Row],[Age]]&lt;45,"35-44","45+")))</f>
        <v>45+</v>
      </c>
    </row>
    <row r="790" spans="1:15" x14ac:dyDescent="0.25">
      <c r="A790" t="s">
        <v>799</v>
      </c>
      <c r="B790" s="4">
        <v>44895</v>
      </c>
      <c r="C790" s="1">
        <v>45034</v>
      </c>
      <c r="D790">
        <v>25</v>
      </c>
      <c r="E790" t="s">
        <v>911</v>
      </c>
      <c r="F790" t="s">
        <v>918</v>
      </c>
      <c r="G790" t="s">
        <v>922</v>
      </c>
      <c r="H790">
        <v>7742.89</v>
      </c>
      <c r="I790">
        <v>5</v>
      </c>
      <c r="J790">
        <v>34</v>
      </c>
      <c r="K790" t="s">
        <v>925</v>
      </c>
      <c r="L790" t="str">
        <f>IF(ISBLANK(Table1[[#This Row],[CancelDate]]),"Active","Churned")</f>
        <v>Churned</v>
      </c>
      <c r="M790">
        <f ca="1">IF(ISBLANK(Table1[[#This Row],[CancelDate]]),DATEDIF(Table1[[#This Row],[JoinDate]],TODAY(),"M"),DATEDIF(Table1[[#This Row],[JoinDate]],Table1[[#This Row],[CancelDate]],"M"))</f>
        <v>4</v>
      </c>
      <c r="N790" t="str">
        <f>IF(Table1[[#This Row],[EngagementScore]]&lt;=40,"Low",IF(Table1[[#This Row],[EngagementScore]]&lt;=70,"Medium","High"))</f>
        <v>Low</v>
      </c>
      <c r="O790" t="str">
        <f>IF(Table1[[#This Row],[Age]]&lt;25,"18-24",
IF(Table1[[#This Row],[Age]]&lt;35,"25-34",
IF(Table1[[#This Row],[Age]]&lt;45,"35-44","45+")))</f>
        <v>25-34</v>
      </c>
    </row>
    <row r="791" spans="1:15" x14ac:dyDescent="0.25">
      <c r="A791" t="s">
        <v>800</v>
      </c>
      <c r="B791" s="4">
        <v>44578</v>
      </c>
      <c r="C791" s="1">
        <v>44612</v>
      </c>
      <c r="D791">
        <v>20</v>
      </c>
      <c r="E791" t="s">
        <v>912</v>
      </c>
      <c r="F791" t="s">
        <v>917</v>
      </c>
      <c r="G791" t="s">
        <v>921</v>
      </c>
      <c r="H791">
        <v>7035.83</v>
      </c>
      <c r="I791">
        <v>12</v>
      </c>
      <c r="J791">
        <v>44</v>
      </c>
      <c r="K791" t="s">
        <v>925</v>
      </c>
      <c r="L791" t="str">
        <f>IF(ISBLANK(Table1[[#This Row],[CancelDate]]),"Active","Churned")</f>
        <v>Churned</v>
      </c>
      <c r="M791">
        <f ca="1">IF(ISBLANK(Table1[[#This Row],[CancelDate]]),DATEDIF(Table1[[#This Row],[JoinDate]],TODAY(),"M"),DATEDIF(Table1[[#This Row],[JoinDate]],Table1[[#This Row],[CancelDate]],"M"))</f>
        <v>1</v>
      </c>
      <c r="N791" t="str">
        <f>IF(Table1[[#This Row],[EngagementScore]]&lt;=40,"Low",IF(Table1[[#This Row],[EngagementScore]]&lt;=70,"Medium","High"))</f>
        <v>Medium</v>
      </c>
      <c r="O791" t="str">
        <f>IF(Table1[[#This Row],[Age]]&lt;25,"18-24",
IF(Table1[[#This Row],[Age]]&lt;35,"25-34",
IF(Table1[[#This Row],[Age]]&lt;45,"35-44","45+")))</f>
        <v>18-24</v>
      </c>
    </row>
    <row r="792" spans="1:15" x14ac:dyDescent="0.25">
      <c r="A792" t="s">
        <v>801</v>
      </c>
      <c r="B792" s="4">
        <v>45326</v>
      </c>
      <c r="C792" s="1">
        <v>45405</v>
      </c>
      <c r="D792">
        <v>46</v>
      </c>
      <c r="E792" t="s">
        <v>911</v>
      </c>
      <c r="F792" t="s">
        <v>919</v>
      </c>
      <c r="G792" t="s">
        <v>921</v>
      </c>
      <c r="H792">
        <v>6530.44</v>
      </c>
      <c r="I792">
        <v>7</v>
      </c>
      <c r="J792">
        <v>37</v>
      </c>
      <c r="K792" t="s">
        <v>923</v>
      </c>
      <c r="L792" t="str">
        <f>IF(ISBLANK(Table1[[#This Row],[CancelDate]]),"Active","Churned")</f>
        <v>Churned</v>
      </c>
      <c r="M792">
        <f ca="1">IF(ISBLANK(Table1[[#This Row],[CancelDate]]),DATEDIF(Table1[[#This Row],[JoinDate]],TODAY(),"M"),DATEDIF(Table1[[#This Row],[JoinDate]],Table1[[#This Row],[CancelDate]],"M"))</f>
        <v>2</v>
      </c>
      <c r="N792" t="str">
        <f>IF(Table1[[#This Row],[EngagementScore]]&lt;=40,"Low",IF(Table1[[#This Row],[EngagementScore]]&lt;=70,"Medium","High"))</f>
        <v>Low</v>
      </c>
      <c r="O792" t="str">
        <f>IF(Table1[[#This Row],[Age]]&lt;25,"18-24",
IF(Table1[[#This Row],[Age]]&lt;35,"25-34",
IF(Table1[[#This Row],[Age]]&lt;45,"35-44","45+")))</f>
        <v>45+</v>
      </c>
    </row>
    <row r="793" spans="1:15" x14ac:dyDescent="0.25">
      <c r="A793" t="s">
        <v>802</v>
      </c>
      <c r="B793" s="4">
        <v>44564</v>
      </c>
      <c r="D793">
        <v>57</v>
      </c>
      <c r="E793" t="s">
        <v>911</v>
      </c>
      <c r="F793" t="s">
        <v>914</v>
      </c>
      <c r="G793" t="s">
        <v>921</v>
      </c>
      <c r="H793">
        <v>2259.25</v>
      </c>
      <c r="I793">
        <v>6</v>
      </c>
      <c r="J793">
        <v>37</v>
      </c>
      <c r="K793" t="s">
        <v>923</v>
      </c>
      <c r="L793" t="str">
        <f>IF(ISBLANK(Table1[[#This Row],[CancelDate]]),"Active","Churned")</f>
        <v>Active</v>
      </c>
      <c r="M793">
        <f ca="1">IF(ISBLANK(Table1[[#This Row],[CancelDate]]),DATEDIF(Table1[[#This Row],[JoinDate]],TODAY(),"M"),DATEDIF(Table1[[#This Row],[JoinDate]],Table1[[#This Row],[CancelDate]],"M"))</f>
        <v>50</v>
      </c>
      <c r="N793" t="str">
        <f>IF(Table1[[#This Row],[EngagementScore]]&lt;=40,"Low",IF(Table1[[#This Row],[EngagementScore]]&lt;=70,"Medium","High"))</f>
        <v>Low</v>
      </c>
      <c r="O793" t="str">
        <f>IF(Table1[[#This Row],[Age]]&lt;25,"18-24",
IF(Table1[[#This Row],[Age]]&lt;35,"25-34",
IF(Table1[[#This Row],[Age]]&lt;45,"35-44","45+")))</f>
        <v>45+</v>
      </c>
    </row>
    <row r="794" spans="1:15" x14ac:dyDescent="0.25">
      <c r="A794" t="s">
        <v>803</v>
      </c>
      <c r="B794" s="4">
        <v>44921</v>
      </c>
      <c r="C794" s="1">
        <v>45180</v>
      </c>
      <c r="D794">
        <v>30</v>
      </c>
      <c r="E794" t="s">
        <v>912</v>
      </c>
      <c r="F794" t="s">
        <v>919</v>
      </c>
      <c r="G794" t="s">
        <v>922</v>
      </c>
      <c r="H794">
        <v>7339.4</v>
      </c>
      <c r="I794">
        <v>6</v>
      </c>
      <c r="J794">
        <v>16</v>
      </c>
      <c r="K794" t="s">
        <v>923</v>
      </c>
      <c r="L794" t="str">
        <f>IF(ISBLANK(Table1[[#This Row],[CancelDate]]),"Active","Churned")</f>
        <v>Churned</v>
      </c>
      <c r="M794">
        <f ca="1">IF(ISBLANK(Table1[[#This Row],[CancelDate]]),DATEDIF(Table1[[#This Row],[JoinDate]],TODAY(),"M"),DATEDIF(Table1[[#This Row],[JoinDate]],Table1[[#This Row],[CancelDate]],"M"))</f>
        <v>8</v>
      </c>
      <c r="N794" t="str">
        <f>IF(Table1[[#This Row],[EngagementScore]]&lt;=40,"Low",IF(Table1[[#This Row],[EngagementScore]]&lt;=70,"Medium","High"))</f>
        <v>Low</v>
      </c>
      <c r="O794" t="str">
        <f>IF(Table1[[#This Row],[Age]]&lt;25,"18-24",
IF(Table1[[#This Row],[Age]]&lt;35,"25-34",
IF(Table1[[#This Row],[Age]]&lt;45,"35-44","45+")))</f>
        <v>25-34</v>
      </c>
    </row>
    <row r="795" spans="1:15" x14ac:dyDescent="0.25">
      <c r="A795" t="s">
        <v>804</v>
      </c>
      <c r="B795" s="4">
        <v>45206</v>
      </c>
      <c r="C795" s="1">
        <v>45349</v>
      </c>
      <c r="D795">
        <v>34</v>
      </c>
      <c r="E795" t="s">
        <v>912</v>
      </c>
      <c r="F795" t="s">
        <v>917</v>
      </c>
      <c r="G795" t="s">
        <v>922</v>
      </c>
      <c r="H795">
        <v>5543.05</v>
      </c>
      <c r="I795">
        <v>8</v>
      </c>
      <c r="J795">
        <v>67</v>
      </c>
      <c r="K795" t="s">
        <v>924</v>
      </c>
      <c r="L795" t="str">
        <f>IF(ISBLANK(Table1[[#This Row],[CancelDate]]),"Active","Churned")</f>
        <v>Churned</v>
      </c>
      <c r="M795">
        <f ca="1">IF(ISBLANK(Table1[[#This Row],[CancelDate]]),DATEDIF(Table1[[#This Row],[JoinDate]],TODAY(),"M"),DATEDIF(Table1[[#This Row],[JoinDate]],Table1[[#This Row],[CancelDate]],"M"))</f>
        <v>4</v>
      </c>
      <c r="N795" t="str">
        <f>IF(Table1[[#This Row],[EngagementScore]]&lt;=40,"Low",IF(Table1[[#This Row],[EngagementScore]]&lt;=70,"Medium","High"))</f>
        <v>Medium</v>
      </c>
      <c r="O795" t="str">
        <f>IF(Table1[[#This Row],[Age]]&lt;25,"18-24",
IF(Table1[[#This Row],[Age]]&lt;35,"25-34",
IF(Table1[[#This Row],[Age]]&lt;45,"35-44","45+")))</f>
        <v>25-34</v>
      </c>
    </row>
    <row r="796" spans="1:15" x14ac:dyDescent="0.25">
      <c r="A796" t="s">
        <v>805</v>
      </c>
      <c r="B796" s="4">
        <v>44591</v>
      </c>
      <c r="D796">
        <v>48</v>
      </c>
      <c r="E796" t="s">
        <v>912</v>
      </c>
      <c r="F796" t="s">
        <v>914</v>
      </c>
      <c r="G796" t="s">
        <v>921</v>
      </c>
      <c r="H796">
        <v>6088.24</v>
      </c>
      <c r="I796">
        <v>4</v>
      </c>
      <c r="J796">
        <v>27</v>
      </c>
      <c r="K796" t="s">
        <v>923</v>
      </c>
      <c r="L796" t="str">
        <f>IF(ISBLANK(Table1[[#This Row],[CancelDate]]),"Active","Churned")</f>
        <v>Active</v>
      </c>
      <c r="M796">
        <f ca="1">IF(ISBLANK(Table1[[#This Row],[CancelDate]]),DATEDIF(Table1[[#This Row],[JoinDate]],TODAY(),"M"),DATEDIF(Table1[[#This Row],[JoinDate]],Table1[[#This Row],[CancelDate]],"M"))</f>
        <v>50</v>
      </c>
      <c r="N796" t="str">
        <f>IF(Table1[[#This Row],[EngagementScore]]&lt;=40,"Low",IF(Table1[[#This Row],[EngagementScore]]&lt;=70,"Medium","High"))</f>
        <v>Low</v>
      </c>
      <c r="O796" t="str">
        <f>IF(Table1[[#This Row],[Age]]&lt;25,"18-24",
IF(Table1[[#This Row],[Age]]&lt;35,"25-34",
IF(Table1[[#This Row],[Age]]&lt;45,"35-44","45+")))</f>
        <v>45+</v>
      </c>
    </row>
    <row r="797" spans="1:15" x14ac:dyDescent="0.25">
      <c r="A797" t="s">
        <v>806</v>
      </c>
      <c r="B797" s="4">
        <v>44791</v>
      </c>
      <c r="C797" s="1">
        <v>45097</v>
      </c>
      <c r="D797">
        <v>44</v>
      </c>
      <c r="E797" t="s">
        <v>912</v>
      </c>
      <c r="F797" t="s">
        <v>918</v>
      </c>
      <c r="G797" t="s">
        <v>921</v>
      </c>
      <c r="H797">
        <v>2658.18</v>
      </c>
      <c r="I797">
        <v>7</v>
      </c>
      <c r="J797">
        <v>10</v>
      </c>
      <c r="K797" t="s">
        <v>925</v>
      </c>
      <c r="L797" t="str">
        <f>IF(ISBLANK(Table1[[#This Row],[CancelDate]]),"Active","Churned")</f>
        <v>Churned</v>
      </c>
      <c r="M797">
        <f ca="1">IF(ISBLANK(Table1[[#This Row],[CancelDate]]),DATEDIF(Table1[[#This Row],[JoinDate]],TODAY(),"M"),DATEDIF(Table1[[#This Row],[JoinDate]],Table1[[#This Row],[CancelDate]],"M"))</f>
        <v>10</v>
      </c>
      <c r="N797" t="str">
        <f>IF(Table1[[#This Row],[EngagementScore]]&lt;=40,"Low",IF(Table1[[#This Row],[EngagementScore]]&lt;=70,"Medium","High"))</f>
        <v>Low</v>
      </c>
      <c r="O797" t="str">
        <f>IF(Table1[[#This Row],[Age]]&lt;25,"18-24",
IF(Table1[[#This Row],[Age]]&lt;35,"25-34",
IF(Table1[[#This Row],[Age]]&lt;45,"35-44","45+")))</f>
        <v>35-44</v>
      </c>
    </row>
    <row r="798" spans="1:15" x14ac:dyDescent="0.25">
      <c r="A798" t="s">
        <v>807</v>
      </c>
      <c r="B798" s="4">
        <v>44895</v>
      </c>
      <c r="C798" s="1">
        <v>45045</v>
      </c>
      <c r="D798">
        <v>26</v>
      </c>
      <c r="E798" t="s">
        <v>911</v>
      </c>
      <c r="F798" t="s">
        <v>917</v>
      </c>
      <c r="G798" t="s">
        <v>922</v>
      </c>
      <c r="H798">
        <v>5011.09</v>
      </c>
      <c r="I798">
        <v>9</v>
      </c>
      <c r="J798">
        <v>46</v>
      </c>
      <c r="K798" t="s">
        <v>923</v>
      </c>
      <c r="L798" t="str">
        <f>IF(ISBLANK(Table1[[#This Row],[CancelDate]]),"Active","Churned")</f>
        <v>Churned</v>
      </c>
      <c r="M798">
        <f ca="1">IF(ISBLANK(Table1[[#This Row],[CancelDate]]),DATEDIF(Table1[[#This Row],[JoinDate]],TODAY(),"M"),DATEDIF(Table1[[#This Row],[JoinDate]],Table1[[#This Row],[CancelDate]],"M"))</f>
        <v>4</v>
      </c>
      <c r="N798" t="str">
        <f>IF(Table1[[#This Row],[EngagementScore]]&lt;=40,"Low",IF(Table1[[#This Row],[EngagementScore]]&lt;=70,"Medium","High"))</f>
        <v>Medium</v>
      </c>
      <c r="O798" t="str">
        <f>IF(Table1[[#This Row],[Age]]&lt;25,"18-24",
IF(Table1[[#This Row],[Age]]&lt;35,"25-34",
IF(Table1[[#This Row],[Age]]&lt;45,"35-44","45+")))</f>
        <v>25-34</v>
      </c>
    </row>
    <row r="799" spans="1:15" x14ac:dyDescent="0.25">
      <c r="A799" t="s">
        <v>808</v>
      </c>
      <c r="B799" s="4">
        <v>44753</v>
      </c>
      <c r="D799">
        <v>36</v>
      </c>
      <c r="E799" t="s">
        <v>912</v>
      </c>
      <c r="F799" t="s">
        <v>916</v>
      </c>
      <c r="G799" t="s">
        <v>920</v>
      </c>
      <c r="H799">
        <v>6827.29</v>
      </c>
      <c r="I799">
        <v>7</v>
      </c>
      <c r="J799">
        <v>35</v>
      </c>
      <c r="K799" t="s">
        <v>923</v>
      </c>
      <c r="L799" t="str">
        <f>IF(ISBLANK(Table1[[#This Row],[CancelDate]]),"Active","Churned")</f>
        <v>Active</v>
      </c>
      <c r="M799">
        <f ca="1">IF(ISBLANK(Table1[[#This Row],[CancelDate]]),DATEDIF(Table1[[#This Row],[JoinDate]],TODAY(),"M"),DATEDIF(Table1[[#This Row],[JoinDate]],Table1[[#This Row],[CancelDate]],"M"))</f>
        <v>44</v>
      </c>
      <c r="N799" t="str">
        <f>IF(Table1[[#This Row],[EngagementScore]]&lt;=40,"Low",IF(Table1[[#This Row],[EngagementScore]]&lt;=70,"Medium","High"))</f>
        <v>Low</v>
      </c>
      <c r="O799" t="str">
        <f>IF(Table1[[#This Row],[Age]]&lt;25,"18-24",
IF(Table1[[#This Row],[Age]]&lt;35,"25-34",
IF(Table1[[#This Row],[Age]]&lt;45,"35-44","45+")))</f>
        <v>35-44</v>
      </c>
    </row>
    <row r="800" spans="1:15" x14ac:dyDescent="0.25">
      <c r="A800" t="s">
        <v>809</v>
      </c>
      <c r="B800" s="4">
        <v>45354</v>
      </c>
      <c r="D800">
        <v>52</v>
      </c>
      <c r="E800" t="s">
        <v>911</v>
      </c>
      <c r="F800" t="s">
        <v>917</v>
      </c>
      <c r="G800" t="s">
        <v>921</v>
      </c>
      <c r="H800">
        <v>11302.96</v>
      </c>
      <c r="I800">
        <v>11</v>
      </c>
      <c r="J800">
        <v>52</v>
      </c>
      <c r="K800" t="s">
        <v>925</v>
      </c>
      <c r="L800" t="str">
        <f>IF(ISBLANK(Table1[[#This Row],[CancelDate]]),"Active","Churned")</f>
        <v>Active</v>
      </c>
      <c r="M800">
        <f ca="1">IF(ISBLANK(Table1[[#This Row],[CancelDate]]),DATEDIF(Table1[[#This Row],[JoinDate]],TODAY(),"M"),DATEDIF(Table1[[#This Row],[JoinDate]],Table1[[#This Row],[CancelDate]],"M"))</f>
        <v>24</v>
      </c>
      <c r="N800" t="str">
        <f>IF(Table1[[#This Row],[EngagementScore]]&lt;=40,"Low",IF(Table1[[#This Row],[EngagementScore]]&lt;=70,"Medium","High"))</f>
        <v>Medium</v>
      </c>
      <c r="O800" t="str">
        <f>IF(Table1[[#This Row],[Age]]&lt;25,"18-24",
IF(Table1[[#This Row],[Age]]&lt;35,"25-34",
IF(Table1[[#This Row],[Age]]&lt;45,"35-44","45+")))</f>
        <v>45+</v>
      </c>
    </row>
    <row r="801" spans="1:15" x14ac:dyDescent="0.25">
      <c r="A801" t="s">
        <v>810</v>
      </c>
      <c r="B801" s="4">
        <v>44754</v>
      </c>
      <c r="C801" s="1">
        <v>44804</v>
      </c>
      <c r="D801">
        <v>34</v>
      </c>
      <c r="E801" t="s">
        <v>912</v>
      </c>
      <c r="F801" t="s">
        <v>918</v>
      </c>
      <c r="G801" t="s">
        <v>922</v>
      </c>
      <c r="H801">
        <v>12238.47</v>
      </c>
      <c r="I801">
        <v>28</v>
      </c>
      <c r="J801">
        <v>87</v>
      </c>
      <c r="K801" t="s">
        <v>923</v>
      </c>
      <c r="L801" t="str">
        <f>IF(ISBLANK(Table1[[#This Row],[CancelDate]]),"Active","Churned")</f>
        <v>Churned</v>
      </c>
      <c r="M801">
        <f ca="1">IF(ISBLANK(Table1[[#This Row],[CancelDate]]),DATEDIF(Table1[[#This Row],[JoinDate]],TODAY(),"M"),DATEDIF(Table1[[#This Row],[JoinDate]],Table1[[#This Row],[CancelDate]],"M"))</f>
        <v>1</v>
      </c>
      <c r="N801" t="str">
        <f>IF(Table1[[#This Row],[EngagementScore]]&lt;=40,"Low",IF(Table1[[#This Row],[EngagementScore]]&lt;=70,"Medium","High"))</f>
        <v>High</v>
      </c>
      <c r="O801" t="str">
        <f>IF(Table1[[#This Row],[Age]]&lt;25,"18-24",
IF(Table1[[#This Row],[Age]]&lt;35,"25-34",
IF(Table1[[#This Row],[Age]]&lt;45,"35-44","45+")))</f>
        <v>25-34</v>
      </c>
    </row>
    <row r="802" spans="1:15" x14ac:dyDescent="0.25">
      <c r="A802" t="s">
        <v>811</v>
      </c>
      <c r="B802" s="4">
        <v>45287</v>
      </c>
      <c r="D802">
        <v>41</v>
      </c>
      <c r="E802" t="s">
        <v>911</v>
      </c>
      <c r="F802" t="s">
        <v>919</v>
      </c>
      <c r="G802" t="s">
        <v>921</v>
      </c>
      <c r="H802">
        <v>20674.34</v>
      </c>
      <c r="I802">
        <v>22</v>
      </c>
      <c r="J802">
        <v>82</v>
      </c>
      <c r="K802" t="s">
        <v>924</v>
      </c>
      <c r="L802" t="str">
        <f>IF(ISBLANK(Table1[[#This Row],[CancelDate]]),"Active","Churned")</f>
        <v>Active</v>
      </c>
      <c r="M802">
        <f ca="1">IF(ISBLANK(Table1[[#This Row],[CancelDate]]),DATEDIF(Table1[[#This Row],[JoinDate]],TODAY(),"M"),DATEDIF(Table1[[#This Row],[JoinDate]],Table1[[#This Row],[CancelDate]],"M"))</f>
        <v>27</v>
      </c>
      <c r="N802" t="str">
        <f>IF(Table1[[#This Row],[EngagementScore]]&lt;=40,"Low",IF(Table1[[#This Row],[EngagementScore]]&lt;=70,"Medium","High"))</f>
        <v>High</v>
      </c>
      <c r="O802" t="str">
        <f>IF(Table1[[#This Row],[Age]]&lt;25,"18-24",
IF(Table1[[#This Row],[Age]]&lt;35,"25-34",
IF(Table1[[#This Row],[Age]]&lt;45,"35-44","45+")))</f>
        <v>35-44</v>
      </c>
    </row>
    <row r="803" spans="1:15" x14ac:dyDescent="0.25">
      <c r="A803" t="s">
        <v>812</v>
      </c>
      <c r="B803" s="4">
        <v>45429</v>
      </c>
      <c r="D803">
        <v>41</v>
      </c>
      <c r="E803" t="s">
        <v>912</v>
      </c>
      <c r="F803" t="s">
        <v>918</v>
      </c>
      <c r="G803" t="s">
        <v>921</v>
      </c>
      <c r="H803">
        <v>10040.83</v>
      </c>
      <c r="I803">
        <v>11</v>
      </c>
      <c r="J803">
        <v>46</v>
      </c>
      <c r="K803" t="s">
        <v>923</v>
      </c>
      <c r="L803" t="str">
        <f>IF(ISBLANK(Table1[[#This Row],[CancelDate]]),"Active","Churned")</f>
        <v>Active</v>
      </c>
      <c r="M803">
        <f ca="1">IF(ISBLANK(Table1[[#This Row],[CancelDate]]),DATEDIF(Table1[[#This Row],[JoinDate]],TODAY(),"M"),DATEDIF(Table1[[#This Row],[JoinDate]],Table1[[#This Row],[CancelDate]],"M"))</f>
        <v>22</v>
      </c>
      <c r="N803" t="str">
        <f>IF(Table1[[#This Row],[EngagementScore]]&lt;=40,"Low",IF(Table1[[#This Row],[EngagementScore]]&lt;=70,"Medium","High"))</f>
        <v>Medium</v>
      </c>
      <c r="O803" t="str">
        <f>IF(Table1[[#This Row],[Age]]&lt;25,"18-24",
IF(Table1[[#This Row],[Age]]&lt;35,"25-34",
IF(Table1[[#This Row],[Age]]&lt;45,"35-44","45+")))</f>
        <v>35-44</v>
      </c>
    </row>
    <row r="804" spans="1:15" x14ac:dyDescent="0.25">
      <c r="A804" t="s">
        <v>813</v>
      </c>
      <c r="B804" s="4">
        <v>44669</v>
      </c>
      <c r="D804">
        <v>21</v>
      </c>
      <c r="E804" t="s">
        <v>911</v>
      </c>
      <c r="F804" t="s">
        <v>919</v>
      </c>
      <c r="G804" t="s">
        <v>922</v>
      </c>
      <c r="H804">
        <v>10131.780000000001</v>
      </c>
      <c r="I804">
        <v>12</v>
      </c>
      <c r="J804">
        <v>64</v>
      </c>
      <c r="K804" t="s">
        <v>923</v>
      </c>
      <c r="L804" t="str">
        <f>IF(ISBLANK(Table1[[#This Row],[CancelDate]]),"Active","Churned")</f>
        <v>Active</v>
      </c>
      <c r="M804">
        <f ca="1">IF(ISBLANK(Table1[[#This Row],[CancelDate]]),DATEDIF(Table1[[#This Row],[JoinDate]],TODAY(),"M"),DATEDIF(Table1[[#This Row],[JoinDate]],Table1[[#This Row],[CancelDate]],"M"))</f>
        <v>47</v>
      </c>
      <c r="N804" t="str">
        <f>IF(Table1[[#This Row],[EngagementScore]]&lt;=40,"Low",IF(Table1[[#This Row],[EngagementScore]]&lt;=70,"Medium","High"))</f>
        <v>Medium</v>
      </c>
      <c r="O804" t="str">
        <f>IF(Table1[[#This Row],[Age]]&lt;25,"18-24",
IF(Table1[[#This Row],[Age]]&lt;35,"25-34",
IF(Table1[[#This Row],[Age]]&lt;45,"35-44","45+")))</f>
        <v>18-24</v>
      </c>
    </row>
    <row r="805" spans="1:15" x14ac:dyDescent="0.25">
      <c r="A805" t="s">
        <v>814</v>
      </c>
      <c r="B805" s="4">
        <v>44801</v>
      </c>
      <c r="D805">
        <v>39</v>
      </c>
      <c r="E805" t="s">
        <v>911</v>
      </c>
      <c r="F805" t="s">
        <v>914</v>
      </c>
      <c r="G805" t="s">
        <v>921</v>
      </c>
      <c r="H805">
        <v>5982.44</v>
      </c>
      <c r="I805">
        <v>14</v>
      </c>
      <c r="J805">
        <v>40</v>
      </c>
      <c r="K805" t="s">
        <v>925</v>
      </c>
      <c r="L805" t="str">
        <f>IF(ISBLANK(Table1[[#This Row],[CancelDate]]),"Active","Churned")</f>
        <v>Active</v>
      </c>
      <c r="M805">
        <f ca="1">IF(ISBLANK(Table1[[#This Row],[CancelDate]]),DATEDIF(Table1[[#This Row],[JoinDate]],TODAY(),"M"),DATEDIF(Table1[[#This Row],[JoinDate]],Table1[[#This Row],[CancelDate]],"M"))</f>
        <v>43</v>
      </c>
      <c r="N805" t="str">
        <f>IF(Table1[[#This Row],[EngagementScore]]&lt;=40,"Low",IF(Table1[[#This Row],[EngagementScore]]&lt;=70,"Medium","High"))</f>
        <v>Low</v>
      </c>
      <c r="O805" t="str">
        <f>IF(Table1[[#This Row],[Age]]&lt;25,"18-24",
IF(Table1[[#This Row],[Age]]&lt;35,"25-34",
IF(Table1[[#This Row],[Age]]&lt;45,"35-44","45+")))</f>
        <v>35-44</v>
      </c>
    </row>
    <row r="806" spans="1:15" x14ac:dyDescent="0.25">
      <c r="A806" t="s">
        <v>815</v>
      </c>
      <c r="B806" s="4">
        <v>44780</v>
      </c>
      <c r="D806">
        <v>46</v>
      </c>
      <c r="E806" t="s">
        <v>912</v>
      </c>
      <c r="F806" t="s">
        <v>915</v>
      </c>
      <c r="G806" t="s">
        <v>921</v>
      </c>
      <c r="H806">
        <v>25127.34</v>
      </c>
      <c r="I806">
        <v>26</v>
      </c>
      <c r="J806">
        <v>87</v>
      </c>
      <c r="K806" t="s">
        <v>925</v>
      </c>
      <c r="L806" t="str">
        <f>IF(ISBLANK(Table1[[#This Row],[CancelDate]]),"Active","Churned")</f>
        <v>Active</v>
      </c>
      <c r="M806">
        <f ca="1">IF(ISBLANK(Table1[[#This Row],[CancelDate]]),DATEDIF(Table1[[#This Row],[JoinDate]],TODAY(),"M"),DATEDIF(Table1[[#This Row],[JoinDate]],Table1[[#This Row],[CancelDate]],"M"))</f>
        <v>43</v>
      </c>
      <c r="N806" t="str">
        <f>IF(Table1[[#This Row],[EngagementScore]]&lt;=40,"Low",IF(Table1[[#This Row],[EngagementScore]]&lt;=70,"Medium","High"))</f>
        <v>High</v>
      </c>
      <c r="O806" t="str">
        <f>IF(Table1[[#This Row],[Age]]&lt;25,"18-24",
IF(Table1[[#This Row],[Age]]&lt;35,"25-34",
IF(Table1[[#This Row],[Age]]&lt;45,"35-44","45+")))</f>
        <v>45+</v>
      </c>
    </row>
    <row r="807" spans="1:15" x14ac:dyDescent="0.25">
      <c r="A807" t="s">
        <v>816</v>
      </c>
      <c r="B807" s="4">
        <v>45295</v>
      </c>
      <c r="D807">
        <v>35</v>
      </c>
      <c r="E807" t="s">
        <v>911</v>
      </c>
      <c r="F807" t="s">
        <v>916</v>
      </c>
      <c r="G807" t="s">
        <v>920</v>
      </c>
      <c r="H807">
        <v>17516.66</v>
      </c>
      <c r="I807">
        <v>26</v>
      </c>
      <c r="J807">
        <v>94</v>
      </c>
      <c r="K807" t="s">
        <v>925</v>
      </c>
      <c r="L807" t="str">
        <f>IF(ISBLANK(Table1[[#This Row],[CancelDate]]),"Active","Churned")</f>
        <v>Active</v>
      </c>
      <c r="M807">
        <f ca="1">IF(ISBLANK(Table1[[#This Row],[CancelDate]]),DATEDIF(Table1[[#This Row],[JoinDate]],TODAY(),"M"),DATEDIF(Table1[[#This Row],[JoinDate]],Table1[[#This Row],[CancelDate]],"M"))</f>
        <v>26</v>
      </c>
      <c r="N807" t="str">
        <f>IF(Table1[[#This Row],[EngagementScore]]&lt;=40,"Low",IF(Table1[[#This Row],[EngagementScore]]&lt;=70,"Medium","High"))</f>
        <v>High</v>
      </c>
      <c r="O807" t="str">
        <f>IF(Table1[[#This Row],[Age]]&lt;25,"18-24",
IF(Table1[[#This Row],[Age]]&lt;35,"25-34",
IF(Table1[[#This Row],[Age]]&lt;45,"35-44","45+")))</f>
        <v>35-44</v>
      </c>
    </row>
    <row r="808" spans="1:15" x14ac:dyDescent="0.25">
      <c r="A808" t="s">
        <v>817</v>
      </c>
      <c r="B808" s="4">
        <v>45281</v>
      </c>
      <c r="D808">
        <v>38</v>
      </c>
      <c r="E808" t="s">
        <v>911</v>
      </c>
      <c r="F808" t="s">
        <v>915</v>
      </c>
      <c r="G808" t="s">
        <v>921</v>
      </c>
      <c r="H808">
        <v>8441.4699999999993</v>
      </c>
      <c r="I808">
        <v>13</v>
      </c>
      <c r="J808">
        <v>66</v>
      </c>
      <c r="K808" t="s">
        <v>913</v>
      </c>
      <c r="L808" t="str">
        <f>IF(ISBLANK(Table1[[#This Row],[CancelDate]]),"Active","Churned")</f>
        <v>Active</v>
      </c>
      <c r="M808">
        <f ca="1">IF(ISBLANK(Table1[[#This Row],[CancelDate]]),DATEDIF(Table1[[#This Row],[JoinDate]],TODAY(),"M"),DATEDIF(Table1[[#This Row],[JoinDate]],Table1[[#This Row],[CancelDate]],"M"))</f>
        <v>27</v>
      </c>
      <c r="N808" t="str">
        <f>IF(Table1[[#This Row],[EngagementScore]]&lt;=40,"Low",IF(Table1[[#This Row],[EngagementScore]]&lt;=70,"Medium","High"))</f>
        <v>Medium</v>
      </c>
      <c r="O808" t="str">
        <f>IF(Table1[[#This Row],[Age]]&lt;25,"18-24",
IF(Table1[[#This Row],[Age]]&lt;35,"25-34",
IF(Table1[[#This Row],[Age]]&lt;45,"35-44","45+")))</f>
        <v>35-44</v>
      </c>
    </row>
    <row r="809" spans="1:15" x14ac:dyDescent="0.25">
      <c r="A809" t="s">
        <v>818</v>
      </c>
      <c r="B809" s="4">
        <v>45206</v>
      </c>
      <c r="D809">
        <v>59</v>
      </c>
      <c r="E809" t="s">
        <v>912</v>
      </c>
      <c r="F809" t="s">
        <v>916</v>
      </c>
      <c r="G809" t="s">
        <v>921</v>
      </c>
      <c r="H809">
        <v>29033.55</v>
      </c>
      <c r="I809">
        <v>14</v>
      </c>
      <c r="J809">
        <v>78</v>
      </c>
      <c r="K809" t="s">
        <v>925</v>
      </c>
      <c r="L809" t="str">
        <f>IF(ISBLANK(Table1[[#This Row],[CancelDate]]),"Active","Churned")</f>
        <v>Active</v>
      </c>
      <c r="M809">
        <f ca="1">IF(ISBLANK(Table1[[#This Row],[CancelDate]]),DATEDIF(Table1[[#This Row],[JoinDate]],TODAY(),"M"),DATEDIF(Table1[[#This Row],[JoinDate]],Table1[[#This Row],[CancelDate]],"M"))</f>
        <v>29</v>
      </c>
      <c r="N809" t="str">
        <f>IF(Table1[[#This Row],[EngagementScore]]&lt;=40,"Low",IF(Table1[[#This Row],[EngagementScore]]&lt;=70,"Medium","High"))</f>
        <v>High</v>
      </c>
      <c r="O809" t="str">
        <f>IF(Table1[[#This Row],[Age]]&lt;25,"18-24",
IF(Table1[[#This Row],[Age]]&lt;35,"25-34",
IF(Table1[[#This Row],[Age]]&lt;45,"35-44","45+")))</f>
        <v>45+</v>
      </c>
    </row>
    <row r="810" spans="1:15" x14ac:dyDescent="0.25">
      <c r="A810" t="s">
        <v>819</v>
      </c>
      <c r="B810" s="4">
        <v>44711</v>
      </c>
      <c r="D810">
        <v>23</v>
      </c>
      <c r="E810" t="s">
        <v>912</v>
      </c>
      <c r="F810" t="s">
        <v>919</v>
      </c>
      <c r="G810" t="s">
        <v>922</v>
      </c>
      <c r="H810">
        <v>3156.01</v>
      </c>
      <c r="I810">
        <v>4</v>
      </c>
      <c r="J810">
        <v>16</v>
      </c>
      <c r="K810" t="s">
        <v>925</v>
      </c>
      <c r="L810" t="str">
        <f>IF(ISBLANK(Table1[[#This Row],[CancelDate]]),"Active","Churned")</f>
        <v>Active</v>
      </c>
      <c r="M810">
        <f ca="1">IF(ISBLANK(Table1[[#This Row],[CancelDate]]),DATEDIF(Table1[[#This Row],[JoinDate]],TODAY(),"M"),DATEDIF(Table1[[#This Row],[JoinDate]],Table1[[#This Row],[CancelDate]],"M"))</f>
        <v>46</v>
      </c>
      <c r="N810" t="str">
        <f>IF(Table1[[#This Row],[EngagementScore]]&lt;=40,"Low",IF(Table1[[#This Row],[EngagementScore]]&lt;=70,"Medium","High"))</f>
        <v>Low</v>
      </c>
      <c r="O810" t="str">
        <f>IF(Table1[[#This Row],[Age]]&lt;25,"18-24",
IF(Table1[[#This Row],[Age]]&lt;35,"25-34",
IF(Table1[[#This Row],[Age]]&lt;45,"35-44","45+")))</f>
        <v>18-24</v>
      </c>
    </row>
    <row r="811" spans="1:15" x14ac:dyDescent="0.25">
      <c r="A811" t="s">
        <v>820</v>
      </c>
      <c r="B811" s="4">
        <v>44800</v>
      </c>
      <c r="C811" s="1">
        <v>45079</v>
      </c>
      <c r="D811">
        <v>37</v>
      </c>
      <c r="E811" t="s">
        <v>911</v>
      </c>
      <c r="F811" t="s">
        <v>918</v>
      </c>
      <c r="G811" t="s">
        <v>922</v>
      </c>
      <c r="H811">
        <v>8558.84</v>
      </c>
      <c r="I811">
        <v>9</v>
      </c>
      <c r="J811">
        <v>48</v>
      </c>
      <c r="K811" t="s">
        <v>923</v>
      </c>
      <c r="L811" t="str">
        <f>IF(ISBLANK(Table1[[#This Row],[CancelDate]]),"Active","Churned")</f>
        <v>Churned</v>
      </c>
      <c r="M811">
        <f ca="1">IF(ISBLANK(Table1[[#This Row],[CancelDate]]),DATEDIF(Table1[[#This Row],[JoinDate]],TODAY(),"M"),DATEDIF(Table1[[#This Row],[JoinDate]],Table1[[#This Row],[CancelDate]],"M"))</f>
        <v>9</v>
      </c>
      <c r="N811" t="str">
        <f>IF(Table1[[#This Row],[EngagementScore]]&lt;=40,"Low",IF(Table1[[#This Row],[EngagementScore]]&lt;=70,"Medium","High"))</f>
        <v>Medium</v>
      </c>
      <c r="O811" t="str">
        <f>IF(Table1[[#This Row],[Age]]&lt;25,"18-24",
IF(Table1[[#This Row],[Age]]&lt;35,"25-34",
IF(Table1[[#This Row],[Age]]&lt;45,"35-44","45+")))</f>
        <v>35-44</v>
      </c>
    </row>
    <row r="812" spans="1:15" x14ac:dyDescent="0.25">
      <c r="A812" t="s">
        <v>821</v>
      </c>
      <c r="B812" s="4">
        <v>45229</v>
      </c>
      <c r="C812" s="1">
        <v>45306</v>
      </c>
      <c r="D812">
        <v>50</v>
      </c>
      <c r="E812" t="s">
        <v>912</v>
      </c>
      <c r="F812" t="s">
        <v>915</v>
      </c>
      <c r="G812" t="s">
        <v>921</v>
      </c>
      <c r="H812">
        <v>10975.81</v>
      </c>
      <c r="I812">
        <v>12</v>
      </c>
      <c r="J812">
        <v>42</v>
      </c>
      <c r="K812" t="s">
        <v>924</v>
      </c>
      <c r="L812" t="str">
        <f>IF(ISBLANK(Table1[[#This Row],[CancelDate]]),"Active","Churned")</f>
        <v>Churned</v>
      </c>
      <c r="M812">
        <f ca="1">IF(ISBLANK(Table1[[#This Row],[CancelDate]]),DATEDIF(Table1[[#This Row],[JoinDate]],TODAY(),"M"),DATEDIF(Table1[[#This Row],[JoinDate]],Table1[[#This Row],[CancelDate]],"M"))</f>
        <v>2</v>
      </c>
      <c r="N812" t="str">
        <f>IF(Table1[[#This Row],[EngagementScore]]&lt;=40,"Low",IF(Table1[[#This Row],[EngagementScore]]&lt;=70,"Medium","High"))</f>
        <v>Medium</v>
      </c>
      <c r="O812" t="str">
        <f>IF(Table1[[#This Row],[Age]]&lt;25,"18-24",
IF(Table1[[#This Row],[Age]]&lt;35,"25-34",
IF(Table1[[#This Row],[Age]]&lt;45,"35-44","45+")))</f>
        <v>45+</v>
      </c>
    </row>
    <row r="813" spans="1:15" x14ac:dyDescent="0.25">
      <c r="A813" t="s">
        <v>822</v>
      </c>
      <c r="B813" s="4">
        <v>44990</v>
      </c>
      <c r="C813" s="1">
        <v>45229</v>
      </c>
      <c r="D813">
        <v>52</v>
      </c>
      <c r="E813" t="s">
        <v>912</v>
      </c>
      <c r="F813" t="s">
        <v>914</v>
      </c>
      <c r="G813" t="s">
        <v>921</v>
      </c>
      <c r="H813">
        <v>26803.01</v>
      </c>
      <c r="I813">
        <v>25</v>
      </c>
      <c r="J813">
        <v>91</v>
      </c>
      <c r="K813" t="s">
        <v>913</v>
      </c>
      <c r="L813" t="str">
        <f>IF(ISBLANK(Table1[[#This Row],[CancelDate]]),"Active","Churned")</f>
        <v>Churned</v>
      </c>
      <c r="M813">
        <f ca="1">IF(ISBLANK(Table1[[#This Row],[CancelDate]]),DATEDIF(Table1[[#This Row],[JoinDate]],TODAY(),"M"),DATEDIF(Table1[[#This Row],[JoinDate]],Table1[[#This Row],[CancelDate]],"M"))</f>
        <v>7</v>
      </c>
      <c r="N813" t="str">
        <f>IF(Table1[[#This Row],[EngagementScore]]&lt;=40,"Low",IF(Table1[[#This Row],[EngagementScore]]&lt;=70,"Medium","High"))</f>
        <v>High</v>
      </c>
      <c r="O813" t="str">
        <f>IF(Table1[[#This Row],[Age]]&lt;25,"18-24",
IF(Table1[[#This Row],[Age]]&lt;35,"25-34",
IF(Table1[[#This Row],[Age]]&lt;45,"35-44","45+")))</f>
        <v>45+</v>
      </c>
    </row>
    <row r="814" spans="1:15" x14ac:dyDescent="0.25">
      <c r="A814" t="s">
        <v>823</v>
      </c>
      <c r="B814" s="4">
        <v>44938</v>
      </c>
      <c r="C814" s="1">
        <v>45040</v>
      </c>
      <c r="D814">
        <v>57</v>
      </c>
      <c r="E814" t="s">
        <v>911</v>
      </c>
      <c r="F814" t="s">
        <v>916</v>
      </c>
      <c r="G814" t="s">
        <v>921</v>
      </c>
      <c r="H814">
        <v>5204.9799999999996</v>
      </c>
      <c r="I814">
        <v>4</v>
      </c>
      <c r="J814">
        <v>11</v>
      </c>
      <c r="K814" t="s">
        <v>923</v>
      </c>
      <c r="L814" t="str">
        <f>IF(ISBLANK(Table1[[#This Row],[CancelDate]]),"Active","Churned")</f>
        <v>Churned</v>
      </c>
      <c r="M814">
        <f ca="1">IF(ISBLANK(Table1[[#This Row],[CancelDate]]),DATEDIF(Table1[[#This Row],[JoinDate]],TODAY(),"M"),DATEDIF(Table1[[#This Row],[JoinDate]],Table1[[#This Row],[CancelDate]],"M"))</f>
        <v>3</v>
      </c>
      <c r="N814" t="str">
        <f>IF(Table1[[#This Row],[EngagementScore]]&lt;=40,"Low",IF(Table1[[#This Row],[EngagementScore]]&lt;=70,"Medium","High"))</f>
        <v>Low</v>
      </c>
      <c r="O814" t="str">
        <f>IF(Table1[[#This Row],[Age]]&lt;25,"18-24",
IF(Table1[[#This Row],[Age]]&lt;35,"25-34",
IF(Table1[[#This Row],[Age]]&lt;45,"35-44","45+")))</f>
        <v>45+</v>
      </c>
    </row>
    <row r="815" spans="1:15" x14ac:dyDescent="0.25">
      <c r="A815" t="s">
        <v>824</v>
      </c>
      <c r="B815" s="4">
        <v>45020</v>
      </c>
      <c r="C815" s="1">
        <v>45143</v>
      </c>
      <c r="D815">
        <v>53</v>
      </c>
      <c r="E815" t="s">
        <v>912</v>
      </c>
      <c r="F815" t="s">
        <v>918</v>
      </c>
      <c r="G815" t="s">
        <v>921</v>
      </c>
      <c r="H815">
        <v>6634.26</v>
      </c>
      <c r="I815">
        <v>2</v>
      </c>
      <c r="J815">
        <v>27</v>
      </c>
      <c r="K815" t="s">
        <v>925</v>
      </c>
      <c r="L815" t="str">
        <f>IF(ISBLANK(Table1[[#This Row],[CancelDate]]),"Active","Churned")</f>
        <v>Churned</v>
      </c>
      <c r="M815">
        <f ca="1">IF(ISBLANK(Table1[[#This Row],[CancelDate]]),DATEDIF(Table1[[#This Row],[JoinDate]],TODAY(),"M"),DATEDIF(Table1[[#This Row],[JoinDate]],Table1[[#This Row],[CancelDate]],"M"))</f>
        <v>4</v>
      </c>
      <c r="N815" t="str">
        <f>IF(Table1[[#This Row],[EngagementScore]]&lt;=40,"Low",IF(Table1[[#This Row],[EngagementScore]]&lt;=70,"Medium","High"))</f>
        <v>Low</v>
      </c>
      <c r="O815" t="str">
        <f>IF(Table1[[#This Row],[Age]]&lt;25,"18-24",
IF(Table1[[#This Row],[Age]]&lt;35,"25-34",
IF(Table1[[#This Row],[Age]]&lt;45,"35-44","45+")))</f>
        <v>45+</v>
      </c>
    </row>
    <row r="816" spans="1:15" x14ac:dyDescent="0.25">
      <c r="A816" t="s">
        <v>825</v>
      </c>
      <c r="B816" s="4">
        <v>44973</v>
      </c>
      <c r="D816">
        <v>46</v>
      </c>
      <c r="E816" t="s">
        <v>912</v>
      </c>
      <c r="F816" t="s">
        <v>917</v>
      </c>
      <c r="G816" t="s">
        <v>922</v>
      </c>
      <c r="H816">
        <v>3805.04</v>
      </c>
      <c r="I816">
        <v>3</v>
      </c>
      <c r="J816">
        <v>32</v>
      </c>
      <c r="K816" t="s">
        <v>925</v>
      </c>
      <c r="L816" t="str">
        <f>IF(ISBLANK(Table1[[#This Row],[CancelDate]]),"Active","Churned")</f>
        <v>Active</v>
      </c>
      <c r="M816">
        <f ca="1">IF(ISBLANK(Table1[[#This Row],[CancelDate]]),DATEDIF(Table1[[#This Row],[JoinDate]],TODAY(),"M"),DATEDIF(Table1[[#This Row],[JoinDate]],Table1[[#This Row],[CancelDate]],"M"))</f>
        <v>37</v>
      </c>
      <c r="N816" t="str">
        <f>IF(Table1[[#This Row],[EngagementScore]]&lt;=40,"Low",IF(Table1[[#This Row],[EngagementScore]]&lt;=70,"Medium","High"))</f>
        <v>Low</v>
      </c>
      <c r="O816" t="str">
        <f>IF(Table1[[#This Row],[Age]]&lt;25,"18-24",
IF(Table1[[#This Row],[Age]]&lt;35,"25-34",
IF(Table1[[#This Row],[Age]]&lt;45,"35-44","45+")))</f>
        <v>45+</v>
      </c>
    </row>
    <row r="817" spans="1:15" x14ac:dyDescent="0.25">
      <c r="A817" t="s">
        <v>826</v>
      </c>
      <c r="B817" s="4">
        <v>45010</v>
      </c>
      <c r="D817">
        <v>32</v>
      </c>
      <c r="E817" t="s">
        <v>912</v>
      </c>
      <c r="F817" t="s">
        <v>919</v>
      </c>
      <c r="G817" t="s">
        <v>921</v>
      </c>
      <c r="H817">
        <v>2873.5</v>
      </c>
      <c r="I817">
        <v>3</v>
      </c>
      <c r="J817">
        <v>16</v>
      </c>
      <c r="K817" t="s">
        <v>924</v>
      </c>
      <c r="L817" t="str">
        <f>IF(ISBLANK(Table1[[#This Row],[CancelDate]]),"Active","Churned")</f>
        <v>Active</v>
      </c>
      <c r="M817">
        <f ca="1">IF(ISBLANK(Table1[[#This Row],[CancelDate]]),DATEDIF(Table1[[#This Row],[JoinDate]],TODAY(),"M"),DATEDIF(Table1[[#This Row],[JoinDate]],Table1[[#This Row],[CancelDate]],"M"))</f>
        <v>36</v>
      </c>
      <c r="N817" t="str">
        <f>IF(Table1[[#This Row],[EngagementScore]]&lt;=40,"Low",IF(Table1[[#This Row],[EngagementScore]]&lt;=70,"Medium","High"))</f>
        <v>Low</v>
      </c>
      <c r="O817" t="str">
        <f>IF(Table1[[#This Row],[Age]]&lt;25,"18-24",
IF(Table1[[#This Row],[Age]]&lt;35,"25-34",
IF(Table1[[#This Row],[Age]]&lt;45,"35-44","45+")))</f>
        <v>25-34</v>
      </c>
    </row>
    <row r="818" spans="1:15" x14ac:dyDescent="0.25">
      <c r="A818" t="s">
        <v>827</v>
      </c>
      <c r="B818" s="4">
        <v>44647</v>
      </c>
      <c r="D818">
        <v>28</v>
      </c>
      <c r="E818" t="s">
        <v>912</v>
      </c>
      <c r="F818" t="s">
        <v>914</v>
      </c>
      <c r="G818" t="s">
        <v>922</v>
      </c>
      <c r="H818">
        <v>14393.9</v>
      </c>
      <c r="I818">
        <v>5</v>
      </c>
      <c r="J818">
        <v>50</v>
      </c>
      <c r="K818" t="s">
        <v>925</v>
      </c>
      <c r="L818" t="str">
        <f>IF(ISBLANK(Table1[[#This Row],[CancelDate]]),"Active","Churned")</f>
        <v>Active</v>
      </c>
      <c r="M818">
        <f ca="1">IF(ISBLANK(Table1[[#This Row],[CancelDate]]),DATEDIF(Table1[[#This Row],[JoinDate]],TODAY(),"M"),DATEDIF(Table1[[#This Row],[JoinDate]],Table1[[#This Row],[CancelDate]],"M"))</f>
        <v>48</v>
      </c>
      <c r="N818" t="str">
        <f>IF(Table1[[#This Row],[EngagementScore]]&lt;=40,"Low",IF(Table1[[#This Row],[EngagementScore]]&lt;=70,"Medium","High"))</f>
        <v>Medium</v>
      </c>
      <c r="O818" t="str">
        <f>IF(Table1[[#This Row],[Age]]&lt;25,"18-24",
IF(Table1[[#This Row],[Age]]&lt;35,"25-34",
IF(Table1[[#This Row],[Age]]&lt;45,"35-44","45+")))</f>
        <v>25-34</v>
      </c>
    </row>
    <row r="819" spans="1:15" x14ac:dyDescent="0.25">
      <c r="A819" t="s">
        <v>828</v>
      </c>
      <c r="B819" s="4">
        <v>45355</v>
      </c>
      <c r="D819">
        <v>22</v>
      </c>
      <c r="E819" t="s">
        <v>913</v>
      </c>
      <c r="F819" t="s">
        <v>915</v>
      </c>
      <c r="G819" t="s">
        <v>922</v>
      </c>
      <c r="H819">
        <v>18583.509999999998</v>
      </c>
      <c r="I819">
        <v>13</v>
      </c>
      <c r="J819">
        <v>83</v>
      </c>
      <c r="K819" t="s">
        <v>925</v>
      </c>
      <c r="L819" t="str">
        <f>IF(ISBLANK(Table1[[#This Row],[CancelDate]]),"Active","Churned")</f>
        <v>Active</v>
      </c>
      <c r="M819">
        <f ca="1">IF(ISBLANK(Table1[[#This Row],[CancelDate]]),DATEDIF(Table1[[#This Row],[JoinDate]],TODAY(),"M"),DATEDIF(Table1[[#This Row],[JoinDate]],Table1[[#This Row],[CancelDate]],"M"))</f>
        <v>24</v>
      </c>
      <c r="N819" t="str">
        <f>IF(Table1[[#This Row],[EngagementScore]]&lt;=40,"Low",IF(Table1[[#This Row],[EngagementScore]]&lt;=70,"Medium","High"))</f>
        <v>High</v>
      </c>
      <c r="O819" t="str">
        <f>IF(Table1[[#This Row],[Age]]&lt;25,"18-24",
IF(Table1[[#This Row],[Age]]&lt;35,"25-34",
IF(Table1[[#This Row],[Age]]&lt;45,"35-44","45+")))</f>
        <v>18-24</v>
      </c>
    </row>
    <row r="820" spans="1:15" x14ac:dyDescent="0.25">
      <c r="A820" t="s">
        <v>829</v>
      </c>
      <c r="B820" s="4">
        <v>45439</v>
      </c>
      <c r="D820">
        <v>25</v>
      </c>
      <c r="E820" t="s">
        <v>912</v>
      </c>
      <c r="F820" t="s">
        <v>916</v>
      </c>
      <c r="G820" t="s">
        <v>921</v>
      </c>
      <c r="H820">
        <v>10182.82</v>
      </c>
      <c r="I820">
        <v>14</v>
      </c>
      <c r="J820">
        <v>56</v>
      </c>
      <c r="K820" t="s">
        <v>924</v>
      </c>
      <c r="L820" t="str">
        <f>IF(ISBLANK(Table1[[#This Row],[CancelDate]]),"Active","Churned")</f>
        <v>Active</v>
      </c>
      <c r="M820">
        <f ca="1">IF(ISBLANK(Table1[[#This Row],[CancelDate]]),DATEDIF(Table1[[#This Row],[JoinDate]],TODAY(),"M"),DATEDIF(Table1[[#This Row],[JoinDate]],Table1[[#This Row],[CancelDate]],"M"))</f>
        <v>22</v>
      </c>
      <c r="N820" t="str">
        <f>IF(Table1[[#This Row],[EngagementScore]]&lt;=40,"Low",IF(Table1[[#This Row],[EngagementScore]]&lt;=70,"Medium","High"))</f>
        <v>Medium</v>
      </c>
      <c r="O820" t="str">
        <f>IF(Table1[[#This Row],[Age]]&lt;25,"18-24",
IF(Table1[[#This Row],[Age]]&lt;35,"25-34",
IF(Table1[[#This Row],[Age]]&lt;45,"35-44","45+")))</f>
        <v>25-34</v>
      </c>
    </row>
    <row r="821" spans="1:15" x14ac:dyDescent="0.25">
      <c r="A821" t="s">
        <v>830</v>
      </c>
      <c r="B821" s="4">
        <v>44567</v>
      </c>
      <c r="D821">
        <v>59</v>
      </c>
      <c r="E821" t="s">
        <v>912</v>
      </c>
      <c r="F821" t="s">
        <v>917</v>
      </c>
      <c r="G821" t="s">
        <v>922</v>
      </c>
      <c r="H821">
        <v>26387.29</v>
      </c>
      <c r="I821">
        <v>12</v>
      </c>
      <c r="J821">
        <v>87</v>
      </c>
      <c r="K821" t="s">
        <v>924</v>
      </c>
      <c r="L821" t="str">
        <f>IF(ISBLANK(Table1[[#This Row],[CancelDate]]),"Active","Churned")</f>
        <v>Active</v>
      </c>
      <c r="M821">
        <f ca="1">IF(ISBLANK(Table1[[#This Row],[CancelDate]]),DATEDIF(Table1[[#This Row],[JoinDate]],TODAY(),"M"),DATEDIF(Table1[[#This Row],[JoinDate]],Table1[[#This Row],[CancelDate]],"M"))</f>
        <v>50</v>
      </c>
      <c r="N821" t="str">
        <f>IF(Table1[[#This Row],[EngagementScore]]&lt;=40,"Low",IF(Table1[[#This Row],[EngagementScore]]&lt;=70,"Medium","High"))</f>
        <v>High</v>
      </c>
      <c r="O821" t="str">
        <f>IF(Table1[[#This Row],[Age]]&lt;25,"18-24",
IF(Table1[[#This Row],[Age]]&lt;35,"25-34",
IF(Table1[[#This Row],[Age]]&lt;45,"35-44","45+")))</f>
        <v>45+</v>
      </c>
    </row>
    <row r="822" spans="1:15" x14ac:dyDescent="0.25">
      <c r="A822" t="s">
        <v>831</v>
      </c>
      <c r="B822" s="4">
        <v>45458</v>
      </c>
      <c r="D822">
        <v>18</v>
      </c>
      <c r="E822" t="s">
        <v>912</v>
      </c>
      <c r="F822" t="s">
        <v>914</v>
      </c>
      <c r="G822" t="s">
        <v>921</v>
      </c>
      <c r="H822">
        <v>5660.39</v>
      </c>
      <c r="I822">
        <v>2</v>
      </c>
      <c r="J822">
        <v>24</v>
      </c>
      <c r="K822" t="s">
        <v>923</v>
      </c>
      <c r="L822" t="str">
        <f>IF(ISBLANK(Table1[[#This Row],[CancelDate]]),"Active","Churned")</f>
        <v>Active</v>
      </c>
      <c r="M822">
        <f ca="1">IF(ISBLANK(Table1[[#This Row],[CancelDate]]),DATEDIF(Table1[[#This Row],[JoinDate]],TODAY(),"M"),DATEDIF(Table1[[#This Row],[JoinDate]],Table1[[#This Row],[CancelDate]],"M"))</f>
        <v>21</v>
      </c>
      <c r="N822" t="str">
        <f>IF(Table1[[#This Row],[EngagementScore]]&lt;=40,"Low",IF(Table1[[#This Row],[EngagementScore]]&lt;=70,"Medium","High"))</f>
        <v>Low</v>
      </c>
      <c r="O822" t="str">
        <f>IF(Table1[[#This Row],[Age]]&lt;25,"18-24",
IF(Table1[[#This Row],[Age]]&lt;35,"25-34",
IF(Table1[[#This Row],[Age]]&lt;45,"35-44","45+")))</f>
        <v>18-24</v>
      </c>
    </row>
    <row r="823" spans="1:15" x14ac:dyDescent="0.25">
      <c r="A823" t="s">
        <v>832</v>
      </c>
      <c r="B823" s="4">
        <v>45247</v>
      </c>
      <c r="C823" s="1">
        <v>45549</v>
      </c>
      <c r="D823">
        <v>43</v>
      </c>
      <c r="E823" t="s">
        <v>912</v>
      </c>
      <c r="F823" t="s">
        <v>918</v>
      </c>
      <c r="G823" t="s">
        <v>922</v>
      </c>
      <c r="H823">
        <v>10137.200000000001</v>
      </c>
      <c r="I823">
        <v>14</v>
      </c>
      <c r="J823">
        <v>45</v>
      </c>
      <c r="K823" t="s">
        <v>925</v>
      </c>
      <c r="L823" t="str">
        <f>IF(ISBLANK(Table1[[#This Row],[CancelDate]]),"Active","Churned")</f>
        <v>Churned</v>
      </c>
      <c r="M823">
        <f ca="1">IF(ISBLANK(Table1[[#This Row],[CancelDate]]),DATEDIF(Table1[[#This Row],[JoinDate]],TODAY(),"M"),DATEDIF(Table1[[#This Row],[JoinDate]],Table1[[#This Row],[CancelDate]],"M"))</f>
        <v>9</v>
      </c>
      <c r="N823" t="str">
        <f>IF(Table1[[#This Row],[EngagementScore]]&lt;=40,"Low",IF(Table1[[#This Row],[EngagementScore]]&lt;=70,"Medium","High"))</f>
        <v>Medium</v>
      </c>
      <c r="O823" t="str">
        <f>IF(Table1[[#This Row],[Age]]&lt;25,"18-24",
IF(Table1[[#This Row],[Age]]&lt;35,"25-34",
IF(Table1[[#This Row],[Age]]&lt;45,"35-44","45+")))</f>
        <v>35-44</v>
      </c>
    </row>
    <row r="824" spans="1:15" x14ac:dyDescent="0.25">
      <c r="A824" t="s">
        <v>833</v>
      </c>
      <c r="B824" s="4">
        <v>44835</v>
      </c>
      <c r="C824" s="1">
        <v>44938</v>
      </c>
      <c r="D824">
        <v>20</v>
      </c>
      <c r="E824" t="s">
        <v>911</v>
      </c>
      <c r="F824" t="s">
        <v>914</v>
      </c>
      <c r="G824" t="s">
        <v>921</v>
      </c>
      <c r="H824">
        <v>13370.31</v>
      </c>
      <c r="I824">
        <v>13</v>
      </c>
      <c r="J824">
        <v>89</v>
      </c>
      <c r="K824" t="s">
        <v>923</v>
      </c>
      <c r="L824" t="str">
        <f>IF(ISBLANK(Table1[[#This Row],[CancelDate]]),"Active","Churned")</f>
        <v>Churned</v>
      </c>
      <c r="M824">
        <f ca="1">IF(ISBLANK(Table1[[#This Row],[CancelDate]]),DATEDIF(Table1[[#This Row],[JoinDate]],TODAY(),"M"),DATEDIF(Table1[[#This Row],[JoinDate]],Table1[[#This Row],[CancelDate]],"M"))</f>
        <v>3</v>
      </c>
      <c r="N824" t="str">
        <f>IF(Table1[[#This Row],[EngagementScore]]&lt;=40,"Low",IF(Table1[[#This Row],[EngagementScore]]&lt;=70,"Medium","High"))</f>
        <v>High</v>
      </c>
      <c r="O824" t="str">
        <f>IF(Table1[[#This Row],[Age]]&lt;25,"18-24",
IF(Table1[[#This Row],[Age]]&lt;35,"25-34",
IF(Table1[[#This Row],[Age]]&lt;45,"35-44","45+")))</f>
        <v>18-24</v>
      </c>
    </row>
    <row r="825" spans="1:15" x14ac:dyDescent="0.25">
      <c r="A825" t="s">
        <v>834</v>
      </c>
      <c r="B825" s="4">
        <v>45404</v>
      </c>
      <c r="D825">
        <v>35</v>
      </c>
      <c r="E825" t="s">
        <v>911</v>
      </c>
      <c r="F825" t="s">
        <v>917</v>
      </c>
      <c r="G825" t="s">
        <v>922</v>
      </c>
      <c r="H825">
        <v>6709.38</v>
      </c>
      <c r="I825">
        <v>3</v>
      </c>
      <c r="J825">
        <v>11</v>
      </c>
      <c r="K825" t="s">
        <v>925</v>
      </c>
      <c r="L825" t="str">
        <f>IF(ISBLANK(Table1[[#This Row],[CancelDate]]),"Active","Churned")</f>
        <v>Active</v>
      </c>
      <c r="M825">
        <f ca="1">IF(ISBLANK(Table1[[#This Row],[CancelDate]]),DATEDIF(Table1[[#This Row],[JoinDate]],TODAY(),"M"),DATEDIF(Table1[[#This Row],[JoinDate]],Table1[[#This Row],[CancelDate]],"M"))</f>
        <v>23</v>
      </c>
      <c r="N825" t="str">
        <f>IF(Table1[[#This Row],[EngagementScore]]&lt;=40,"Low",IF(Table1[[#This Row],[EngagementScore]]&lt;=70,"Medium","High"))</f>
        <v>Low</v>
      </c>
      <c r="O825" t="str">
        <f>IF(Table1[[#This Row],[Age]]&lt;25,"18-24",
IF(Table1[[#This Row],[Age]]&lt;35,"25-34",
IF(Table1[[#This Row],[Age]]&lt;45,"35-44","45+")))</f>
        <v>35-44</v>
      </c>
    </row>
    <row r="826" spans="1:15" x14ac:dyDescent="0.25">
      <c r="A826" t="s">
        <v>835</v>
      </c>
      <c r="B826" s="4">
        <v>45369</v>
      </c>
      <c r="C826" s="1">
        <v>45537</v>
      </c>
      <c r="D826">
        <v>46</v>
      </c>
      <c r="E826" t="s">
        <v>911</v>
      </c>
      <c r="F826" t="s">
        <v>918</v>
      </c>
      <c r="G826" t="s">
        <v>921</v>
      </c>
      <c r="H826">
        <v>9344.33</v>
      </c>
      <c r="I826">
        <v>10</v>
      </c>
      <c r="J826">
        <v>57</v>
      </c>
      <c r="K826" t="s">
        <v>925</v>
      </c>
      <c r="L826" t="str">
        <f>IF(ISBLANK(Table1[[#This Row],[CancelDate]]),"Active","Churned")</f>
        <v>Churned</v>
      </c>
      <c r="M826">
        <f ca="1">IF(ISBLANK(Table1[[#This Row],[CancelDate]]),DATEDIF(Table1[[#This Row],[JoinDate]],TODAY(),"M"),DATEDIF(Table1[[#This Row],[JoinDate]],Table1[[#This Row],[CancelDate]],"M"))</f>
        <v>5</v>
      </c>
      <c r="N826" t="str">
        <f>IF(Table1[[#This Row],[EngagementScore]]&lt;=40,"Low",IF(Table1[[#This Row],[EngagementScore]]&lt;=70,"Medium","High"))</f>
        <v>Medium</v>
      </c>
      <c r="O826" t="str">
        <f>IF(Table1[[#This Row],[Age]]&lt;25,"18-24",
IF(Table1[[#This Row],[Age]]&lt;35,"25-34",
IF(Table1[[#This Row],[Age]]&lt;45,"35-44","45+")))</f>
        <v>45+</v>
      </c>
    </row>
    <row r="827" spans="1:15" x14ac:dyDescent="0.25">
      <c r="A827" t="s">
        <v>836</v>
      </c>
      <c r="B827" s="4">
        <v>45225</v>
      </c>
      <c r="D827">
        <v>46</v>
      </c>
      <c r="E827" t="s">
        <v>911</v>
      </c>
      <c r="F827" t="s">
        <v>918</v>
      </c>
      <c r="G827" t="s">
        <v>921</v>
      </c>
      <c r="H827">
        <v>25923.17</v>
      </c>
      <c r="I827">
        <v>25</v>
      </c>
      <c r="J827">
        <v>77</v>
      </c>
      <c r="K827" t="s">
        <v>925</v>
      </c>
      <c r="L827" t="str">
        <f>IF(ISBLANK(Table1[[#This Row],[CancelDate]]),"Active","Churned")</f>
        <v>Active</v>
      </c>
      <c r="M827">
        <f ca="1">IF(ISBLANK(Table1[[#This Row],[CancelDate]]),DATEDIF(Table1[[#This Row],[JoinDate]],TODAY(),"M"),DATEDIF(Table1[[#This Row],[JoinDate]],Table1[[#This Row],[CancelDate]],"M"))</f>
        <v>29</v>
      </c>
      <c r="N827" t="str">
        <f>IF(Table1[[#This Row],[EngagementScore]]&lt;=40,"Low",IF(Table1[[#This Row],[EngagementScore]]&lt;=70,"Medium","High"))</f>
        <v>High</v>
      </c>
      <c r="O827" t="str">
        <f>IF(Table1[[#This Row],[Age]]&lt;25,"18-24",
IF(Table1[[#This Row],[Age]]&lt;35,"25-34",
IF(Table1[[#This Row],[Age]]&lt;45,"35-44","45+")))</f>
        <v>45+</v>
      </c>
    </row>
    <row r="828" spans="1:15" x14ac:dyDescent="0.25">
      <c r="A828" t="s">
        <v>837</v>
      </c>
      <c r="B828" s="4">
        <v>45049</v>
      </c>
      <c r="D828">
        <v>35</v>
      </c>
      <c r="E828" t="s">
        <v>912</v>
      </c>
      <c r="F828" t="s">
        <v>916</v>
      </c>
      <c r="G828" t="s">
        <v>922</v>
      </c>
      <c r="H828">
        <v>7575.2</v>
      </c>
      <c r="I828">
        <v>14</v>
      </c>
      <c r="J828">
        <v>57</v>
      </c>
      <c r="K828" t="s">
        <v>925</v>
      </c>
      <c r="L828" t="str">
        <f>IF(ISBLANK(Table1[[#This Row],[CancelDate]]),"Active","Churned")</f>
        <v>Active</v>
      </c>
      <c r="M828">
        <f ca="1">IF(ISBLANK(Table1[[#This Row],[CancelDate]]),DATEDIF(Table1[[#This Row],[JoinDate]],TODAY(),"M"),DATEDIF(Table1[[#This Row],[JoinDate]],Table1[[#This Row],[CancelDate]],"M"))</f>
        <v>34</v>
      </c>
      <c r="N828" t="str">
        <f>IF(Table1[[#This Row],[EngagementScore]]&lt;=40,"Low",IF(Table1[[#This Row],[EngagementScore]]&lt;=70,"Medium","High"))</f>
        <v>Medium</v>
      </c>
      <c r="O828" t="str">
        <f>IF(Table1[[#This Row],[Age]]&lt;25,"18-24",
IF(Table1[[#This Row],[Age]]&lt;35,"25-34",
IF(Table1[[#This Row],[Age]]&lt;45,"35-44","45+")))</f>
        <v>35-44</v>
      </c>
    </row>
    <row r="829" spans="1:15" x14ac:dyDescent="0.25">
      <c r="A829" t="s">
        <v>838</v>
      </c>
      <c r="B829" s="4">
        <v>45268</v>
      </c>
      <c r="C829" s="1">
        <v>45619</v>
      </c>
      <c r="D829">
        <v>44</v>
      </c>
      <c r="E829" t="s">
        <v>912</v>
      </c>
      <c r="F829" t="s">
        <v>915</v>
      </c>
      <c r="G829" t="s">
        <v>922</v>
      </c>
      <c r="H829">
        <v>9179.3799999999992</v>
      </c>
      <c r="I829">
        <v>8</v>
      </c>
      <c r="J829">
        <v>55</v>
      </c>
      <c r="K829" t="s">
        <v>924</v>
      </c>
      <c r="L829" t="str">
        <f>IF(ISBLANK(Table1[[#This Row],[CancelDate]]),"Active","Churned")</f>
        <v>Churned</v>
      </c>
      <c r="M829">
        <f ca="1">IF(ISBLANK(Table1[[#This Row],[CancelDate]]),DATEDIF(Table1[[#This Row],[JoinDate]],TODAY(),"M"),DATEDIF(Table1[[#This Row],[JoinDate]],Table1[[#This Row],[CancelDate]],"M"))</f>
        <v>11</v>
      </c>
      <c r="N829" t="str">
        <f>IF(Table1[[#This Row],[EngagementScore]]&lt;=40,"Low",IF(Table1[[#This Row],[EngagementScore]]&lt;=70,"Medium","High"))</f>
        <v>Medium</v>
      </c>
      <c r="O829" t="str">
        <f>IF(Table1[[#This Row],[Age]]&lt;25,"18-24",
IF(Table1[[#This Row],[Age]]&lt;35,"25-34",
IF(Table1[[#This Row],[Age]]&lt;45,"35-44","45+")))</f>
        <v>35-44</v>
      </c>
    </row>
    <row r="830" spans="1:15" x14ac:dyDescent="0.25">
      <c r="A830" t="s">
        <v>839</v>
      </c>
      <c r="B830" s="4">
        <v>45406</v>
      </c>
      <c r="D830">
        <v>43</v>
      </c>
      <c r="E830" t="s">
        <v>912</v>
      </c>
      <c r="F830" t="s">
        <v>918</v>
      </c>
      <c r="G830" t="s">
        <v>921</v>
      </c>
      <c r="H830">
        <v>15698.84</v>
      </c>
      <c r="I830">
        <v>28</v>
      </c>
      <c r="J830">
        <v>94</v>
      </c>
      <c r="K830" t="s">
        <v>923</v>
      </c>
      <c r="L830" t="str">
        <f>IF(ISBLANK(Table1[[#This Row],[CancelDate]]),"Active","Churned")</f>
        <v>Active</v>
      </c>
      <c r="M830">
        <f ca="1">IF(ISBLANK(Table1[[#This Row],[CancelDate]]),DATEDIF(Table1[[#This Row],[JoinDate]],TODAY(),"M"),DATEDIF(Table1[[#This Row],[JoinDate]],Table1[[#This Row],[CancelDate]],"M"))</f>
        <v>23</v>
      </c>
      <c r="N830" t="str">
        <f>IF(Table1[[#This Row],[EngagementScore]]&lt;=40,"Low",IF(Table1[[#This Row],[EngagementScore]]&lt;=70,"Medium","High"))</f>
        <v>High</v>
      </c>
      <c r="O830" t="str">
        <f>IF(Table1[[#This Row],[Age]]&lt;25,"18-24",
IF(Table1[[#This Row],[Age]]&lt;35,"25-34",
IF(Table1[[#This Row],[Age]]&lt;45,"35-44","45+")))</f>
        <v>35-44</v>
      </c>
    </row>
    <row r="831" spans="1:15" x14ac:dyDescent="0.25">
      <c r="A831" t="s">
        <v>840</v>
      </c>
      <c r="B831" s="4">
        <v>44614</v>
      </c>
      <c r="D831">
        <v>44</v>
      </c>
      <c r="E831" t="s">
        <v>911</v>
      </c>
      <c r="F831" t="s">
        <v>916</v>
      </c>
      <c r="G831" t="s">
        <v>921</v>
      </c>
      <c r="H831">
        <v>21100.55</v>
      </c>
      <c r="I831">
        <v>22</v>
      </c>
      <c r="J831">
        <v>90</v>
      </c>
      <c r="K831" t="s">
        <v>923</v>
      </c>
      <c r="L831" t="str">
        <f>IF(ISBLANK(Table1[[#This Row],[CancelDate]]),"Active","Churned")</f>
        <v>Active</v>
      </c>
      <c r="M831">
        <f ca="1">IF(ISBLANK(Table1[[#This Row],[CancelDate]]),DATEDIF(Table1[[#This Row],[JoinDate]],TODAY(),"M"),DATEDIF(Table1[[#This Row],[JoinDate]],Table1[[#This Row],[CancelDate]],"M"))</f>
        <v>49</v>
      </c>
      <c r="N831" t="str">
        <f>IF(Table1[[#This Row],[EngagementScore]]&lt;=40,"Low",IF(Table1[[#This Row],[EngagementScore]]&lt;=70,"Medium","High"))</f>
        <v>High</v>
      </c>
      <c r="O831" t="str">
        <f>IF(Table1[[#This Row],[Age]]&lt;25,"18-24",
IF(Table1[[#This Row],[Age]]&lt;35,"25-34",
IF(Table1[[#This Row],[Age]]&lt;45,"35-44","45+")))</f>
        <v>35-44</v>
      </c>
    </row>
    <row r="832" spans="1:15" x14ac:dyDescent="0.25">
      <c r="A832" t="s">
        <v>841</v>
      </c>
      <c r="B832" s="4">
        <v>45354</v>
      </c>
      <c r="C832" s="1">
        <v>45697</v>
      </c>
      <c r="D832">
        <v>36</v>
      </c>
      <c r="E832" t="s">
        <v>912</v>
      </c>
      <c r="F832" t="s">
        <v>917</v>
      </c>
      <c r="G832" t="s">
        <v>920</v>
      </c>
      <c r="H832">
        <v>7065.1</v>
      </c>
      <c r="I832">
        <v>1</v>
      </c>
      <c r="J832">
        <v>32</v>
      </c>
      <c r="K832" t="s">
        <v>923</v>
      </c>
      <c r="L832" t="str">
        <f>IF(ISBLANK(Table1[[#This Row],[CancelDate]]),"Active","Churned")</f>
        <v>Churned</v>
      </c>
      <c r="M832">
        <f ca="1">IF(ISBLANK(Table1[[#This Row],[CancelDate]]),DATEDIF(Table1[[#This Row],[JoinDate]],TODAY(),"M"),DATEDIF(Table1[[#This Row],[JoinDate]],Table1[[#This Row],[CancelDate]],"M"))</f>
        <v>11</v>
      </c>
      <c r="N832" t="str">
        <f>IF(Table1[[#This Row],[EngagementScore]]&lt;=40,"Low",IF(Table1[[#This Row],[EngagementScore]]&lt;=70,"Medium","High"))</f>
        <v>Low</v>
      </c>
      <c r="O832" t="str">
        <f>IF(Table1[[#This Row],[Age]]&lt;25,"18-24",
IF(Table1[[#This Row],[Age]]&lt;35,"25-34",
IF(Table1[[#This Row],[Age]]&lt;45,"35-44","45+")))</f>
        <v>35-44</v>
      </c>
    </row>
    <row r="833" spans="1:15" x14ac:dyDescent="0.25">
      <c r="A833" t="s">
        <v>842</v>
      </c>
      <c r="B833" s="4">
        <v>45076</v>
      </c>
      <c r="D833">
        <v>57</v>
      </c>
      <c r="E833" t="s">
        <v>912</v>
      </c>
      <c r="F833" t="s">
        <v>917</v>
      </c>
      <c r="G833" t="s">
        <v>921</v>
      </c>
      <c r="H833">
        <v>12981.52</v>
      </c>
      <c r="I833">
        <v>10</v>
      </c>
      <c r="J833">
        <v>62</v>
      </c>
      <c r="K833" t="s">
        <v>925</v>
      </c>
      <c r="L833" t="str">
        <f>IF(ISBLANK(Table1[[#This Row],[CancelDate]]),"Active","Churned")</f>
        <v>Active</v>
      </c>
      <c r="M833">
        <f ca="1">IF(ISBLANK(Table1[[#This Row],[CancelDate]]),DATEDIF(Table1[[#This Row],[JoinDate]],TODAY(),"M"),DATEDIF(Table1[[#This Row],[JoinDate]],Table1[[#This Row],[CancelDate]],"M"))</f>
        <v>34</v>
      </c>
      <c r="N833" t="str">
        <f>IF(Table1[[#This Row],[EngagementScore]]&lt;=40,"Low",IF(Table1[[#This Row],[EngagementScore]]&lt;=70,"Medium","High"))</f>
        <v>Medium</v>
      </c>
      <c r="O833" t="str">
        <f>IF(Table1[[#This Row],[Age]]&lt;25,"18-24",
IF(Table1[[#This Row],[Age]]&lt;35,"25-34",
IF(Table1[[#This Row],[Age]]&lt;45,"35-44","45+")))</f>
        <v>45+</v>
      </c>
    </row>
    <row r="834" spans="1:15" x14ac:dyDescent="0.25">
      <c r="A834" t="s">
        <v>843</v>
      </c>
      <c r="B834" s="4">
        <v>45273</v>
      </c>
      <c r="D834">
        <v>20</v>
      </c>
      <c r="E834" t="s">
        <v>911</v>
      </c>
      <c r="F834" t="s">
        <v>917</v>
      </c>
      <c r="G834" t="s">
        <v>922</v>
      </c>
      <c r="H834">
        <v>2172.87</v>
      </c>
      <c r="I834">
        <v>3</v>
      </c>
      <c r="J834">
        <v>35</v>
      </c>
      <c r="K834" t="s">
        <v>925</v>
      </c>
      <c r="L834" t="str">
        <f>IF(ISBLANK(Table1[[#This Row],[CancelDate]]),"Active","Churned")</f>
        <v>Active</v>
      </c>
      <c r="M834">
        <f ca="1">IF(ISBLANK(Table1[[#This Row],[CancelDate]]),DATEDIF(Table1[[#This Row],[JoinDate]],TODAY(),"M"),DATEDIF(Table1[[#This Row],[JoinDate]],Table1[[#This Row],[CancelDate]],"M"))</f>
        <v>27</v>
      </c>
      <c r="N834" t="str">
        <f>IF(Table1[[#This Row],[EngagementScore]]&lt;=40,"Low",IF(Table1[[#This Row],[EngagementScore]]&lt;=70,"Medium","High"))</f>
        <v>Low</v>
      </c>
      <c r="O834" t="str">
        <f>IF(Table1[[#This Row],[Age]]&lt;25,"18-24",
IF(Table1[[#This Row],[Age]]&lt;35,"25-34",
IF(Table1[[#This Row],[Age]]&lt;45,"35-44","45+")))</f>
        <v>18-24</v>
      </c>
    </row>
    <row r="835" spans="1:15" x14ac:dyDescent="0.25">
      <c r="A835" t="s">
        <v>844</v>
      </c>
      <c r="B835" s="4">
        <v>45038</v>
      </c>
      <c r="D835">
        <v>18</v>
      </c>
      <c r="E835" t="s">
        <v>912</v>
      </c>
      <c r="F835" t="s">
        <v>918</v>
      </c>
      <c r="G835" t="s">
        <v>922</v>
      </c>
      <c r="H835">
        <v>14434.59</v>
      </c>
      <c r="I835">
        <v>7</v>
      </c>
      <c r="J835">
        <v>62</v>
      </c>
      <c r="K835" t="s">
        <v>925</v>
      </c>
      <c r="L835" t="str">
        <f>IF(ISBLANK(Table1[[#This Row],[CancelDate]]),"Active","Churned")</f>
        <v>Active</v>
      </c>
      <c r="M835">
        <f ca="1">IF(ISBLANK(Table1[[#This Row],[CancelDate]]),DATEDIF(Table1[[#This Row],[JoinDate]],TODAY(),"M"),DATEDIF(Table1[[#This Row],[JoinDate]],Table1[[#This Row],[CancelDate]],"M"))</f>
        <v>35</v>
      </c>
      <c r="N835" t="str">
        <f>IF(Table1[[#This Row],[EngagementScore]]&lt;=40,"Low",IF(Table1[[#This Row],[EngagementScore]]&lt;=70,"Medium","High"))</f>
        <v>Medium</v>
      </c>
      <c r="O835" t="str">
        <f>IF(Table1[[#This Row],[Age]]&lt;25,"18-24",
IF(Table1[[#This Row],[Age]]&lt;35,"25-34",
IF(Table1[[#This Row],[Age]]&lt;45,"35-44","45+")))</f>
        <v>18-24</v>
      </c>
    </row>
    <row r="836" spans="1:15" x14ac:dyDescent="0.25">
      <c r="A836" t="s">
        <v>845</v>
      </c>
      <c r="B836" s="4">
        <v>45175</v>
      </c>
      <c r="C836" s="1">
        <v>45340</v>
      </c>
      <c r="D836">
        <v>34</v>
      </c>
      <c r="E836" t="s">
        <v>912</v>
      </c>
      <c r="F836" t="s">
        <v>919</v>
      </c>
      <c r="G836" t="s">
        <v>922</v>
      </c>
      <c r="H836">
        <v>6171.01</v>
      </c>
      <c r="I836">
        <v>1</v>
      </c>
      <c r="J836">
        <v>31</v>
      </c>
      <c r="K836" t="s">
        <v>924</v>
      </c>
      <c r="L836" t="str">
        <f>IF(ISBLANK(Table1[[#This Row],[CancelDate]]),"Active","Churned")</f>
        <v>Churned</v>
      </c>
      <c r="M836">
        <f ca="1">IF(ISBLANK(Table1[[#This Row],[CancelDate]]),DATEDIF(Table1[[#This Row],[JoinDate]],TODAY(),"M"),DATEDIF(Table1[[#This Row],[JoinDate]],Table1[[#This Row],[CancelDate]],"M"))</f>
        <v>5</v>
      </c>
      <c r="N836" t="str">
        <f>IF(Table1[[#This Row],[EngagementScore]]&lt;=40,"Low",IF(Table1[[#This Row],[EngagementScore]]&lt;=70,"Medium","High"))</f>
        <v>Low</v>
      </c>
      <c r="O836" t="str">
        <f>IF(Table1[[#This Row],[Age]]&lt;25,"18-24",
IF(Table1[[#This Row],[Age]]&lt;35,"25-34",
IF(Table1[[#This Row],[Age]]&lt;45,"35-44","45+")))</f>
        <v>25-34</v>
      </c>
    </row>
    <row r="837" spans="1:15" x14ac:dyDescent="0.25">
      <c r="A837" t="s">
        <v>846</v>
      </c>
      <c r="B837" s="4">
        <v>45145</v>
      </c>
      <c r="D837">
        <v>18</v>
      </c>
      <c r="E837" t="s">
        <v>912</v>
      </c>
      <c r="F837" t="s">
        <v>917</v>
      </c>
      <c r="G837" t="s">
        <v>921</v>
      </c>
      <c r="H837">
        <v>2139.86</v>
      </c>
      <c r="I837">
        <v>7</v>
      </c>
      <c r="J837">
        <v>17</v>
      </c>
      <c r="K837" t="s">
        <v>923</v>
      </c>
      <c r="L837" t="str">
        <f>IF(ISBLANK(Table1[[#This Row],[CancelDate]]),"Active","Churned")</f>
        <v>Active</v>
      </c>
      <c r="M837">
        <f ca="1">IF(ISBLANK(Table1[[#This Row],[CancelDate]]),DATEDIF(Table1[[#This Row],[JoinDate]],TODAY(),"M"),DATEDIF(Table1[[#This Row],[JoinDate]],Table1[[#This Row],[CancelDate]],"M"))</f>
        <v>31</v>
      </c>
      <c r="N837" t="str">
        <f>IF(Table1[[#This Row],[EngagementScore]]&lt;=40,"Low",IF(Table1[[#This Row],[EngagementScore]]&lt;=70,"Medium","High"))</f>
        <v>Low</v>
      </c>
      <c r="O837" t="str">
        <f>IF(Table1[[#This Row],[Age]]&lt;25,"18-24",
IF(Table1[[#This Row],[Age]]&lt;35,"25-34",
IF(Table1[[#This Row],[Age]]&lt;45,"35-44","45+")))</f>
        <v>18-24</v>
      </c>
    </row>
    <row r="838" spans="1:15" x14ac:dyDescent="0.25">
      <c r="A838" t="s">
        <v>847</v>
      </c>
      <c r="B838" s="4">
        <v>44813</v>
      </c>
      <c r="D838">
        <v>42</v>
      </c>
      <c r="E838" t="s">
        <v>912</v>
      </c>
      <c r="F838" t="s">
        <v>916</v>
      </c>
      <c r="G838" t="s">
        <v>921</v>
      </c>
      <c r="H838">
        <v>18926.349999999999</v>
      </c>
      <c r="I838">
        <v>21</v>
      </c>
      <c r="J838">
        <v>98</v>
      </c>
      <c r="K838" t="s">
        <v>925</v>
      </c>
      <c r="L838" t="str">
        <f>IF(ISBLANK(Table1[[#This Row],[CancelDate]]),"Active","Churned")</f>
        <v>Active</v>
      </c>
      <c r="M838">
        <f ca="1">IF(ISBLANK(Table1[[#This Row],[CancelDate]]),DATEDIF(Table1[[#This Row],[JoinDate]],TODAY(),"M"),DATEDIF(Table1[[#This Row],[JoinDate]],Table1[[#This Row],[CancelDate]],"M"))</f>
        <v>42</v>
      </c>
      <c r="N838" t="str">
        <f>IF(Table1[[#This Row],[EngagementScore]]&lt;=40,"Low",IF(Table1[[#This Row],[EngagementScore]]&lt;=70,"Medium","High"))</f>
        <v>High</v>
      </c>
      <c r="O838" t="str">
        <f>IF(Table1[[#This Row],[Age]]&lt;25,"18-24",
IF(Table1[[#This Row],[Age]]&lt;35,"25-34",
IF(Table1[[#This Row],[Age]]&lt;45,"35-44","45+")))</f>
        <v>35-44</v>
      </c>
    </row>
    <row r="839" spans="1:15" x14ac:dyDescent="0.25">
      <c r="A839" t="s">
        <v>848</v>
      </c>
      <c r="B839" s="4">
        <v>44996</v>
      </c>
      <c r="D839">
        <v>36</v>
      </c>
      <c r="E839" t="s">
        <v>912</v>
      </c>
      <c r="F839" t="s">
        <v>914</v>
      </c>
      <c r="G839" t="s">
        <v>922</v>
      </c>
      <c r="H839">
        <v>7298.22</v>
      </c>
      <c r="I839">
        <v>11</v>
      </c>
      <c r="J839">
        <v>46</v>
      </c>
      <c r="K839" t="s">
        <v>925</v>
      </c>
      <c r="L839" t="str">
        <f>IF(ISBLANK(Table1[[#This Row],[CancelDate]]),"Active","Churned")</f>
        <v>Active</v>
      </c>
      <c r="M839">
        <f ca="1">IF(ISBLANK(Table1[[#This Row],[CancelDate]]),DATEDIF(Table1[[#This Row],[JoinDate]],TODAY(),"M"),DATEDIF(Table1[[#This Row],[JoinDate]],Table1[[#This Row],[CancelDate]],"M"))</f>
        <v>36</v>
      </c>
      <c r="N839" t="str">
        <f>IF(Table1[[#This Row],[EngagementScore]]&lt;=40,"Low",IF(Table1[[#This Row],[EngagementScore]]&lt;=70,"Medium","High"))</f>
        <v>Medium</v>
      </c>
      <c r="O839" t="str">
        <f>IF(Table1[[#This Row],[Age]]&lt;25,"18-24",
IF(Table1[[#This Row],[Age]]&lt;35,"25-34",
IF(Table1[[#This Row],[Age]]&lt;45,"35-44","45+")))</f>
        <v>35-44</v>
      </c>
    </row>
    <row r="840" spans="1:15" x14ac:dyDescent="0.25">
      <c r="A840" t="s">
        <v>849</v>
      </c>
      <c r="B840" s="4">
        <v>44750</v>
      </c>
      <c r="C840" s="1">
        <v>44813</v>
      </c>
      <c r="D840">
        <v>34</v>
      </c>
      <c r="E840" t="s">
        <v>912</v>
      </c>
      <c r="F840" t="s">
        <v>916</v>
      </c>
      <c r="G840" t="s">
        <v>921</v>
      </c>
      <c r="H840">
        <v>2175.58</v>
      </c>
      <c r="I840">
        <v>1</v>
      </c>
      <c r="J840">
        <v>36</v>
      </c>
      <c r="K840" t="s">
        <v>923</v>
      </c>
      <c r="L840" t="str">
        <f>IF(ISBLANK(Table1[[#This Row],[CancelDate]]),"Active","Churned")</f>
        <v>Churned</v>
      </c>
      <c r="M840">
        <f ca="1">IF(ISBLANK(Table1[[#This Row],[CancelDate]]),DATEDIF(Table1[[#This Row],[JoinDate]],TODAY(),"M"),DATEDIF(Table1[[#This Row],[JoinDate]],Table1[[#This Row],[CancelDate]],"M"))</f>
        <v>2</v>
      </c>
      <c r="N840" t="str">
        <f>IF(Table1[[#This Row],[EngagementScore]]&lt;=40,"Low",IF(Table1[[#This Row],[EngagementScore]]&lt;=70,"Medium","High"))</f>
        <v>Low</v>
      </c>
      <c r="O840" t="str">
        <f>IF(Table1[[#This Row],[Age]]&lt;25,"18-24",
IF(Table1[[#This Row],[Age]]&lt;35,"25-34",
IF(Table1[[#This Row],[Age]]&lt;45,"35-44","45+")))</f>
        <v>25-34</v>
      </c>
    </row>
    <row r="841" spans="1:15" x14ac:dyDescent="0.25">
      <c r="A841" t="s">
        <v>850</v>
      </c>
      <c r="B841" s="4">
        <v>45307</v>
      </c>
      <c r="D841">
        <v>18</v>
      </c>
      <c r="E841" t="s">
        <v>912</v>
      </c>
      <c r="F841" t="s">
        <v>917</v>
      </c>
      <c r="G841" t="s">
        <v>922</v>
      </c>
      <c r="H841">
        <v>5264.91</v>
      </c>
      <c r="I841">
        <v>7</v>
      </c>
      <c r="J841">
        <v>35</v>
      </c>
      <c r="K841" t="s">
        <v>925</v>
      </c>
      <c r="L841" t="str">
        <f>IF(ISBLANK(Table1[[#This Row],[CancelDate]]),"Active","Churned")</f>
        <v>Active</v>
      </c>
      <c r="M841">
        <f ca="1">IF(ISBLANK(Table1[[#This Row],[CancelDate]]),DATEDIF(Table1[[#This Row],[JoinDate]],TODAY(),"M"),DATEDIF(Table1[[#This Row],[JoinDate]],Table1[[#This Row],[CancelDate]],"M"))</f>
        <v>26</v>
      </c>
      <c r="N841" t="str">
        <f>IF(Table1[[#This Row],[EngagementScore]]&lt;=40,"Low",IF(Table1[[#This Row],[EngagementScore]]&lt;=70,"Medium","High"))</f>
        <v>Low</v>
      </c>
      <c r="O841" t="str">
        <f>IF(Table1[[#This Row],[Age]]&lt;25,"18-24",
IF(Table1[[#This Row],[Age]]&lt;35,"25-34",
IF(Table1[[#This Row],[Age]]&lt;45,"35-44","45+")))</f>
        <v>18-24</v>
      </c>
    </row>
    <row r="842" spans="1:15" x14ac:dyDescent="0.25">
      <c r="A842" t="s">
        <v>851</v>
      </c>
      <c r="B842" s="4">
        <v>44853</v>
      </c>
      <c r="D842">
        <v>24</v>
      </c>
      <c r="E842" t="s">
        <v>912</v>
      </c>
      <c r="F842" t="s">
        <v>918</v>
      </c>
      <c r="G842" t="s">
        <v>922</v>
      </c>
      <c r="H842">
        <v>5765.53</v>
      </c>
      <c r="I842">
        <v>5</v>
      </c>
      <c r="J842">
        <v>37</v>
      </c>
      <c r="K842" t="s">
        <v>925</v>
      </c>
      <c r="L842" t="str">
        <f>IF(ISBLANK(Table1[[#This Row],[CancelDate]]),"Active","Churned")</f>
        <v>Active</v>
      </c>
      <c r="M842">
        <f ca="1">IF(ISBLANK(Table1[[#This Row],[CancelDate]]),DATEDIF(Table1[[#This Row],[JoinDate]],TODAY(),"M"),DATEDIF(Table1[[#This Row],[JoinDate]],Table1[[#This Row],[CancelDate]],"M"))</f>
        <v>41</v>
      </c>
      <c r="N842" t="str">
        <f>IF(Table1[[#This Row],[EngagementScore]]&lt;=40,"Low",IF(Table1[[#This Row],[EngagementScore]]&lt;=70,"Medium","High"))</f>
        <v>Low</v>
      </c>
      <c r="O842" t="str">
        <f>IF(Table1[[#This Row],[Age]]&lt;25,"18-24",
IF(Table1[[#This Row],[Age]]&lt;35,"25-34",
IF(Table1[[#This Row],[Age]]&lt;45,"35-44","45+")))</f>
        <v>18-24</v>
      </c>
    </row>
    <row r="843" spans="1:15" x14ac:dyDescent="0.25">
      <c r="A843" t="s">
        <v>852</v>
      </c>
      <c r="B843" s="4">
        <v>44914</v>
      </c>
      <c r="D843">
        <v>48</v>
      </c>
      <c r="E843" t="s">
        <v>912</v>
      </c>
      <c r="F843" t="s">
        <v>918</v>
      </c>
      <c r="G843" t="s">
        <v>922</v>
      </c>
      <c r="H843">
        <v>6791.31</v>
      </c>
      <c r="I843">
        <v>14</v>
      </c>
      <c r="J843">
        <v>66</v>
      </c>
      <c r="K843" t="s">
        <v>923</v>
      </c>
      <c r="L843" t="str">
        <f>IF(ISBLANK(Table1[[#This Row],[CancelDate]]),"Active","Churned")</f>
        <v>Active</v>
      </c>
      <c r="M843">
        <f ca="1">IF(ISBLANK(Table1[[#This Row],[CancelDate]]),DATEDIF(Table1[[#This Row],[JoinDate]],TODAY(),"M"),DATEDIF(Table1[[#This Row],[JoinDate]],Table1[[#This Row],[CancelDate]],"M"))</f>
        <v>39</v>
      </c>
      <c r="N843" t="str">
        <f>IF(Table1[[#This Row],[EngagementScore]]&lt;=40,"Low",IF(Table1[[#This Row],[EngagementScore]]&lt;=70,"Medium","High"))</f>
        <v>Medium</v>
      </c>
      <c r="O843" t="str">
        <f>IF(Table1[[#This Row],[Age]]&lt;25,"18-24",
IF(Table1[[#This Row],[Age]]&lt;35,"25-34",
IF(Table1[[#This Row],[Age]]&lt;45,"35-44","45+")))</f>
        <v>45+</v>
      </c>
    </row>
    <row r="844" spans="1:15" x14ac:dyDescent="0.25">
      <c r="A844" t="s">
        <v>853</v>
      </c>
      <c r="B844" s="4">
        <v>45188</v>
      </c>
      <c r="C844" s="1">
        <v>45226</v>
      </c>
      <c r="D844">
        <v>37</v>
      </c>
      <c r="E844" t="s">
        <v>911</v>
      </c>
      <c r="F844" t="s">
        <v>918</v>
      </c>
      <c r="G844" t="s">
        <v>921</v>
      </c>
      <c r="H844">
        <v>5588.92</v>
      </c>
      <c r="I844">
        <v>7</v>
      </c>
      <c r="J844">
        <v>38</v>
      </c>
      <c r="K844" t="s">
        <v>924</v>
      </c>
      <c r="L844" t="str">
        <f>IF(ISBLANK(Table1[[#This Row],[CancelDate]]),"Active","Churned")</f>
        <v>Churned</v>
      </c>
      <c r="M844">
        <f ca="1">IF(ISBLANK(Table1[[#This Row],[CancelDate]]),DATEDIF(Table1[[#This Row],[JoinDate]],TODAY(),"M"),DATEDIF(Table1[[#This Row],[JoinDate]],Table1[[#This Row],[CancelDate]],"M"))</f>
        <v>1</v>
      </c>
      <c r="N844" t="str">
        <f>IF(Table1[[#This Row],[EngagementScore]]&lt;=40,"Low",IF(Table1[[#This Row],[EngagementScore]]&lt;=70,"Medium","High"))</f>
        <v>Low</v>
      </c>
      <c r="O844" t="str">
        <f>IF(Table1[[#This Row],[Age]]&lt;25,"18-24",
IF(Table1[[#This Row],[Age]]&lt;35,"25-34",
IF(Table1[[#This Row],[Age]]&lt;45,"35-44","45+")))</f>
        <v>35-44</v>
      </c>
    </row>
    <row r="845" spans="1:15" x14ac:dyDescent="0.25">
      <c r="A845" t="s">
        <v>854</v>
      </c>
      <c r="B845" s="4">
        <v>44843</v>
      </c>
      <c r="D845">
        <v>55</v>
      </c>
      <c r="E845" t="s">
        <v>911</v>
      </c>
      <c r="F845" t="s">
        <v>918</v>
      </c>
      <c r="G845" t="s">
        <v>920</v>
      </c>
      <c r="H845">
        <v>14147.22</v>
      </c>
      <c r="I845">
        <v>18</v>
      </c>
      <c r="J845">
        <v>79</v>
      </c>
      <c r="K845" t="s">
        <v>925</v>
      </c>
      <c r="L845" t="str">
        <f>IF(ISBLANK(Table1[[#This Row],[CancelDate]]),"Active","Churned")</f>
        <v>Active</v>
      </c>
      <c r="M845">
        <f ca="1">IF(ISBLANK(Table1[[#This Row],[CancelDate]]),DATEDIF(Table1[[#This Row],[JoinDate]],TODAY(),"M"),DATEDIF(Table1[[#This Row],[JoinDate]],Table1[[#This Row],[CancelDate]],"M"))</f>
        <v>41</v>
      </c>
      <c r="N845" t="str">
        <f>IF(Table1[[#This Row],[EngagementScore]]&lt;=40,"Low",IF(Table1[[#This Row],[EngagementScore]]&lt;=70,"Medium","High"))</f>
        <v>High</v>
      </c>
      <c r="O845" t="str">
        <f>IF(Table1[[#This Row],[Age]]&lt;25,"18-24",
IF(Table1[[#This Row],[Age]]&lt;35,"25-34",
IF(Table1[[#This Row],[Age]]&lt;45,"35-44","45+")))</f>
        <v>45+</v>
      </c>
    </row>
    <row r="846" spans="1:15" x14ac:dyDescent="0.25">
      <c r="A846" t="s">
        <v>855</v>
      </c>
      <c r="B846" s="4">
        <v>44731</v>
      </c>
      <c r="C846" s="1">
        <v>45003</v>
      </c>
      <c r="D846">
        <v>25</v>
      </c>
      <c r="E846" t="s">
        <v>912</v>
      </c>
      <c r="F846" t="s">
        <v>914</v>
      </c>
      <c r="G846" t="s">
        <v>922</v>
      </c>
      <c r="H846">
        <v>14047.26</v>
      </c>
      <c r="I846">
        <v>7</v>
      </c>
      <c r="J846">
        <v>46</v>
      </c>
      <c r="K846" t="s">
        <v>925</v>
      </c>
      <c r="L846" t="str">
        <f>IF(ISBLANK(Table1[[#This Row],[CancelDate]]),"Active","Churned")</f>
        <v>Churned</v>
      </c>
      <c r="M846">
        <f ca="1">IF(ISBLANK(Table1[[#This Row],[CancelDate]]),DATEDIF(Table1[[#This Row],[JoinDate]],TODAY(),"M"),DATEDIF(Table1[[#This Row],[JoinDate]],Table1[[#This Row],[CancelDate]],"M"))</f>
        <v>8</v>
      </c>
      <c r="N846" t="str">
        <f>IF(Table1[[#This Row],[EngagementScore]]&lt;=40,"Low",IF(Table1[[#This Row],[EngagementScore]]&lt;=70,"Medium","High"))</f>
        <v>Medium</v>
      </c>
      <c r="O846" t="str">
        <f>IF(Table1[[#This Row],[Age]]&lt;25,"18-24",
IF(Table1[[#This Row],[Age]]&lt;35,"25-34",
IF(Table1[[#This Row],[Age]]&lt;45,"35-44","45+")))</f>
        <v>25-34</v>
      </c>
    </row>
    <row r="847" spans="1:15" x14ac:dyDescent="0.25">
      <c r="A847" t="s">
        <v>856</v>
      </c>
      <c r="B847" s="4">
        <v>45286</v>
      </c>
      <c r="C847" s="1">
        <v>45350</v>
      </c>
      <c r="D847">
        <v>46</v>
      </c>
      <c r="E847" t="s">
        <v>911</v>
      </c>
      <c r="F847" t="s">
        <v>917</v>
      </c>
      <c r="G847" t="s">
        <v>921</v>
      </c>
      <c r="H847">
        <v>12018.71</v>
      </c>
      <c r="I847">
        <v>9</v>
      </c>
      <c r="J847">
        <v>56</v>
      </c>
      <c r="K847" t="s">
        <v>923</v>
      </c>
      <c r="L847" t="str">
        <f>IF(ISBLANK(Table1[[#This Row],[CancelDate]]),"Active","Churned")</f>
        <v>Churned</v>
      </c>
      <c r="M847">
        <f ca="1">IF(ISBLANK(Table1[[#This Row],[CancelDate]]),DATEDIF(Table1[[#This Row],[JoinDate]],TODAY(),"M"),DATEDIF(Table1[[#This Row],[JoinDate]],Table1[[#This Row],[CancelDate]],"M"))</f>
        <v>2</v>
      </c>
      <c r="N847" t="str">
        <f>IF(Table1[[#This Row],[EngagementScore]]&lt;=40,"Low",IF(Table1[[#This Row],[EngagementScore]]&lt;=70,"Medium","High"))</f>
        <v>Medium</v>
      </c>
      <c r="O847" t="str">
        <f>IF(Table1[[#This Row],[Age]]&lt;25,"18-24",
IF(Table1[[#This Row],[Age]]&lt;35,"25-34",
IF(Table1[[#This Row],[Age]]&lt;45,"35-44","45+")))</f>
        <v>45+</v>
      </c>
    </row>
    <row r="848" spans="1:15" x14ac:dyDescent="0.25">
      <c r="A848" t="s">
        <v>857</v>
      </c>
      <c r="B848" s="4">
        <v>45381</v>
      </c>
      <c r="D848">
        <v>45</v>
      </c>
      <c r="E848" t="s">
        <v>912</v>
      </c>
      <c r="F848" t="s">
        <v>919</v>
      </c>
      <c r="G848" t="s">
        <v>922</v>
      </c>
      <c r="H848">
        <v>10300</v>
      </c>
      <c r="I848">
        <v>12</v>
      </c>
      <c r="J848">
        <v>67</v>
      </c>
      <c r="K848" t="s">
        <v>923</v>
      </c>
      <c r="L848" t="str">
        <f>IF(ISBLANK(Table1[[#This Row],[CancelDate]]),"Active","Churned")</f>
        <v>Active</v>
      </c>
      <c r="M848">
        <f ca="1">IF(ISBLANK(Table1[[#This Row],[CancelDate]]),DATEDIF(Table1[[#This Row],[JoinDate]],TODAY(),"M"),DATEDIF(Table1[[#This Row],[JoinDate]],Table1[[#This Row],[CancelDate]],"M"))</f>
        <v>24</v>
      </c>
      <c r="N848" t="str">
        <f>IF(Table1[[#This Row],[EngagementScore]]&lt;=40,"Low",IF(Table1[[#This Row],[EngagementScore]]&lt;=70,"Medium","High"))</f>
        <v>Medium</v>
      </c>
      <c r="O848" t="str">
        <f>IF(Table1[[#This Row],[Age]]&lt;25,"18-24",
IF(Table1[[#This Row],[Age]]&lt;35,"25-34",
IF(Table1[[#This Row],[Age]]&lt;45,"35-44","45+")))</f>
        <v>45+</v>
      </c>
    </row>
    <row r="849" spans="1:15" x14ac:dyDescent="0.25">
      <c r="A849" t="s">
        <v>858</v>
      </c>
      <c r="B849" s="4">
        <v>44823</v>
      </c>
      <c r="D849">
        <v>33</v>
      </c>
      <c r="E849" t="s">
        <v>912</v>
      </c>
      <c r="F849" t="s">
        <v>915</v>
      </c>
      <c r="G849" t="s">
        <v>921</v>
      </c>
      <c r="H849">
        <v>3271.32</v>
      </c>
      <c r="I849">
        <v>7</v>
      </c>
      <c r="J849">
        <v>18</v>
      </c>
      <c r="K849" t="s">
        <v>923</v>
      </c>
      <c r="L849" t="str">
        <f>IF(ISBLANK(Table1[[#This Row],[CancelDate]]),"Active","Churned")</f>
        <v>Active</v>
      </c>
      <c r="M849">
        <f ca="1">IF(ISBLANK(Table1[[#This Row],[CancelDate]]),DATEDIF(Table1[[#This Row],[JoinDate]],TODAY(),"M"),DATEDIF(Table1[[#This Row],[JoinDate]],Table1[[#This Row],[CancelDate]],"M"))</f>
        <v>42</v>
      </c>
      <c r="N849" t="str">
        <f>IF(Table1[[#This Row],[EngagementScore]]&lt;=40,"Low",IF(Table1[[#This Row],[EngagementScore]]&lt;=70,"Medium","High"))</f>
        <v>Low</v>
      </c>
      <c r="O849" t="str">
        <f>IF(Table1[[#This Row],[Age]]&lt;25,"18-24",
IF(Table1[[#This Row],[Age]]&lt;35,"25-34",
IF(Table1[[#This Row],[Age]]&lt;45,"35-44","45+")))</f>
        <v>25-34</v>
      </c>
    </row>
    <row r="850" spans="1:15" x14ac:dyDescent="0.25">
      <c r="A850" t="s">
        <v>859</v>
      </c>
      <c r="B850" s="4">
        <v>45000</v>
      </c>
      <c r="D850">
        <v>29</v>
      </c>
      <c r="E850" t="s">
        <v>912</v>
      </c>
      <c r="F850" t="s">
        <v>915</v>
      </c>
      <c r="G850" t="s">
        <v>921</v>
      </c>
      <c r="H850">
        <v>15700.31</v>
      </c>
      <c r="I850">
        <v>26</v>
      </c>
      <c r="J850">
        <v>77</v>
      </c>
      <c r="K850" t="s">
        <v>923</v>
      </c>
      <c r="L850" t="str">
        <f>IF(ISBLANK(Table1[[#This Row],[CancelDate]]),"Active","Churned")</f>
        <v>Active</v>
      </c>
      <c r="M850">
        <f ca="1">IF(ISBLANK(Table1[[#This Row],[CancelDate]]),DATEDIF(Table1[[#This Row],[JoinDate]],TODAY(),"M"),DATEDIF(Table1[[#This Row],[JoinDate]],Table1[[#This Row],[CancelDate]],"M"))</f>
        <v>36</v>
      </c>
      <c r="N850" t="str">
        <f>IF(Table1[[#This Row],[EngagementScore]]&lt;=40,"Low",IF(Table1[[#This Row],[EngagementScore]]&lt;=70,"Medium","High"))</f>
        <v>High</v>
      </c>
      <c r="O850" t="str">
        <f>IF(Table1[[#This Row],[Age]]&lt;25,"18-24",
IF(Table1[[#This Row],[Age]]&lt;35,"25-34",
IF(Table1[[#This Row],[Age]]&lt;45,"35-44","45+")))</f>
        <v>25-34</v>
      </c>
    </row>
    <row r="851" spans="1:15" x14ac:dyDescent="0.25">
      <c r="A851" t="s">
        <v>860</v>
      </c>
      <c r="B851" s="4">
        <v>45454</v>
      </c>
      <c r="C851" s="1">
        <v>45664</v>
      </c>
      <c r="D851">
        <v>49</v>
      </c>
      <c r="E851" t="s">
        <v>911</v>
      </c>
      <c r="F851" t="s">
        <v>915</v>
      </c>
      <c r="G851" t="s">
        <v>921</v>
      </c>
      <c r="H851">
        <v>7260.98</v>
      </c>
      <c r="I851">
        <v>6</v>
      </c>
      <c r="J851">
        <v>36</v>
      </c>
      <c r="K851" t="s">
        <v>924</v>
      </c>
      <c r="L851" t="str">
        <f>IF(ISBLANK(Table1[[#This Row],[CancelDate]]),"Active","Churned")</f>
        <v>Churned</v>
      </c>
      <c r="M851">
        <f ca="1">IF(ISBLANK(Table1[[#This Row],[CancelDate]]),DATEDIF(Table1[[#This Row],[JoinDate]],TODAY(),"M"),DATEDIF(Table1[[#This Row],[JoinDate]],Table1[[#This Row],[CancelDate]],"M"))</f>
        <v>6</v>
      </c>
      <c r="N851" t="str">
        <f>IF(Table1[[#This Row],[EngagementScore]]&lt;=40,"Low",IF(Table1[[#This Row],[EngagementScore]]&lt;=70,"Medium","High"))</f>
        <v>Low</v>
      </c>
      <c r="O851" t="str">
        <f>IF(Table1[[#This Row],[Age]]&lt;25,"18-24",
IF(Table1[[#This Row],[Age]]&lt;35,"25-34",
IF(Table1[[#This Row],[Age]]&lt;45,"35-44","45+")))</f>
        <v>45+</v>
      </c>
    </row>
    <row r="852" spans="1:15" x14ac:dyDescent="0.25">
      <c r="A852" t="s">
        <v>861</v>
      </c>
      <c r="B852" s="4">
        <v>45329</v>
      </c>
      <c r="D852">
        <v>56</v>
      </c>
      <c r="E852" t="s">
        <v>911</v>
      </c>
      <c r="F852" t="s">
        <v>914</v>
      </c>
      <c r="G852" t="s">
        <v>921</v>
      </c>
      <c r="H852">
        <v>28592.09</v>
      </c>
      <c r="I852">
        <v>25</v>
      </c>
      <c r="J852">
        <v>75</v>
      </c>
      <c r="K852" t="s">
        <v>925</v>
      </c>
      <c r="L852" t="str">
        <f>IF(ISBLANK(Table1[[#This Row],[CancelDate]]),"Active","Churned")</f>
        <v>Active</v>
      </c>
      <c r="M852">
        <f ca="1">IF(ISBLANK(Table1[[#This Row],[CancelDate]]),DATEDIF(Table1[[#This Row],[JoinDate]],TODAY(),"M"),DATEDIF(Table1[[#This Row],[JoinDate]],Table1[[#This Row],[CancelDate]],"M"))</f>
        <v>25</v>
      </c>
      <c r="N852" t="str">
        <f>IF(Table1[[#This Row],[EngagementScore]]&lt;=40,"Low",IF(Table1[[#This Row],[EngagementScore]]&lt;=70,"Medium","High"))</f>
        <v>High</v>
      </c>
      <c r="O852" t="str">
        <f>IF(Table1[[#This Row],[Age]]&lt;25,"18-24",
IF(Table1[[#This Row],[Age]]&lt;35,"25-34",
IF(Table1[[#This Row],[Age]]&lt;45,"35-44","45+")))</f>
        <v>45+</v>
      </c>
    </row>
    <row r="853" spans="1:15" x14ac:dyDescent="0.25">
      <c r="A853" t="s">
        <v>862</v>
      </c>
      <c r="B853" s="4">
        <v>44981</v>
      </c>
      <c r="D853">
        <v>43</v>
      </c>
      <c r="E853" t="s">
        <v>911</v>
      </c>
      <c r="F853" t="s">
        <v>914</v>
      </c>
      <c r="G853" t="s">
        <v>921</v>
      </c>
      <c r="H853">
        <v>7135.51</v>
      </c>
      <c r="I853">
        <v>13</v>
      </c>
      <c r="J853">
        <v>60</v>
      </c>
      <c r="K853" t="s">
        <v>923</v>
      </c>
      <c r="L853" t="str">
        <f>IF(ISBLANK(Table1[[#This Row],[CancelDate]]),"Active","Churned")</f>
        <v>Active</v>
      </c>
      <c r="M853">
        <f ca="1">IF(ISBLANK(Table1[[#This Row],[CancelDate]]),DATEDIF(Table1[[#This Row],[JoinDate]],TODAY(),"M"),DATEDIF(Table1[[#This Row],[JoinDate]],Table1[[#This Row],[CancelDate]],"M"))</f>
        <v>37</v>
      </c>
      <c r="N853" t="str">
        <f>IF(Table1[[#This Row],[EngagementScore]]&lt;=40,"Low",IF(Table1[[#This Row],[EngagementScore]]&lt;=70,"Medium","High"))</f>
        <v>Medium</v>
      </c>
      <c r="O853" t="str">
        <f>IF(Table1[[#This Row],[Age]]&lt;25,"18-24",
IF(Table1[[#This Row],[Age]]&lt;35,"25-34",
IF(Table1[[#This Row],[Age]]&lt;45,"35-44","45+")))</f>
        <v>35-44</v>
      </c>
    </row>
    <row r="854" spans="1:15" x14ac:dyDescent="0.25">
      <c r="A854" t="s">
        <v>863</v>
      </c>
      <c r="B854" s="4">
        <v>45153</v>
      </c>
      <c r="C854" s="1">
        <v>45414</v>
      </c>
      <c r="D854">
        <v>53</v>
      </c>
      <c r="E854" t="s">
        <v>911</v>
      </c>
      <c r="F854" t="s">
        <v>916</v>
      </c>
      <c r="G854" t="s">
        <v>920</v>
      </c>
      <c r="H854">
        <v>13166.65</v>
      </c>
      <c r="I854">
        <v>29</v>
      </c>
      <c r="J854">
        <v>97</v>
      </c>
      <c r="K854" t="s">
        <v>925</v>
      </c>
      <c r="L854" t="str">
        <f>IF(ISBLANK(Table1[[#This Row],[CancelDate]]),"Active","Churned")</f>
        <v>Churned</v>
      </c>
      <c r="M854">
        <f ca="1">IF(ISBLANK(Table1[[#This Row],[CancelDate]]),DATEDIF(Table1[[#This Row],[JoinDate]],TODAY(),"M"),DATEDIF(Table1[[#This Row],[JoinDate]],Table1[[#This Row],[CancelDate]],"M"))</f>
        <v>8</v>
      </c>
      <c r="N854" t="str">
        <f>IF(Table1[[#This Row],[EngagementScore]]&lt;=40,"Low",IF(Table1[[#This Row],[EngagementScore]]&lt;=70,"Medium","High"))</f>
        <v>High</v>
      </c>
      <c r="O854" t="str">
        <f>IF(Table1[[#This Row],[Age]]&lt;25,"18-24",
IF(Table1[[#This Row],[Age]]&lt;35,"25-34",
IF(Table1[[#This Row],[Age]]&lt;45,"35-44","45+")))</f>
        <v>45+</v>
      </c>
    </row>
    <row r="855" spans="1:15" x14ac:dyDescent="0.25">
      <c r="A855" t="s">
        <v>864</v>
      </c>
      <c r="B855" s="4">
        <v>44858</v>
      </c>
      <c r="C855" s="1">
        <v>45204</v>
      </c>
      <c r="D855">
        <v>40</v>
      </c>
      <c r="E855" t="s">
        <v>912</v>
      </c>
      <c r="F855" t="s">
        <v>918</v>
      </c>
      <c r="G855" t="s">
        <v>922</v>
      </c>
      <c r="H855">
        <v>5463.18</v>
      </c>
      <c r="I855">
        <v>5</v>
      </c>
      <c r="J855">
        <v>32</v>
      </c>
      <c r="K855" t="s">
        <v>925</v>
      </c>
      <c r="L855" t="str">
        <f>IF(ISBLANK(Table1[[#This Row],[CancelDate]]),"Active","Churned")</f>
        <v>Churned</v>
      </c>
      <c r="M855">
        <f ca="1">IF(ISBLANK(Table1[[#This Row],[CancelDate]]),DATEDIF(Table1[[#This Row],[JoinDate]],TODAY(),"M"),DATEDIF(Table1[[#This Row],[JoinDate]],Table1[[#This Row],[CancelDate]],"M"))</f>
        <v>11</v>
      </c>
      <c r="N855" t="str">
        <f>IF(Table1[[#This Row],[EngagementScore]]&lt;=40,"Low",IF(Table1[[#This Row],[EngagementScore]]&lt;=70,"Medium","High"))</f>
        <v>Low</v>
      </c>
      <c r="O855" t="str">
        <f>IF(Table1[[#This Row],[Age]]&lt;25,"18-24",
IF(Table1[[#This Row],[Age]]&lt;35,"25-34",
IF(Table1[[#This Row],[Age]]&lt;45,"35-44","45+")))</f>
        <v>35-44</v>
      </c>
    </row>
    <row r="856" spans="1:15" x14ac:dyDescent="0.25">
      <c r="A856" t="s">
        <v>865</v>
      </c>
      <c r="B856" s="4">
        <v>44822</v>
      </c>
      <c r="D856">
        <v>35</v>
      </c>
      <c r="E856" t="s">
        <v>912</v>
      </c>
      <c r="F856" t="s">
        <v>919</v>
      </c>
      <c r="G856" t="s">
        <v>921</v>
      </c>
      <c r="H856">
        <v>4621.91</v>
      </c>
      <c r="I856">
        <v>1</v>
      </c>
      <c r="J856">
        <v>12</v>
      </c>
      <c r="K856" t="s">
        <v>925</v>
      </c>
      <c r="L856" t="str">
        <f>IF(ISBLANK(Table1[[#This Row],[CancelDate]]),"Active","Churned")</f>
        <v>Active</v>
      </c>
      <c r="M856">
        <f ca="1">IF(ISBLANK(Table1[[#This Row],[CancelDate]]),DATEDIF(Table1[[#This Row],[JoinDate]],TODAY(),"M"),DATEDIF(Table1[[#This Row],[JoinDate]],Table1[[#This Row],[CancelDate]],"M"))</f>
        <v>42</v>
      </c>
      <c r="N856" t="str">
        <f>IF(Table1[[#This Row],[EngagementScore]]&lt;=40,"Low",IF(Table1[[#This Row],[EngagementScore]]&lt;=70,"Medium","High"))</f>
        <v>Low</v>
      </c>
      <c r="O856" t="str">
        <f>IF(Table1[[#This Row],[Age]]&lt;25,"18-24",
IF(Table1[[#This Row],[Age]]&lt;35,"25-34",
IF(Table1[[#This Row],[Age]]&lt;45,"35-44","45+")))</f>
        <v>35-44</v>
      </c>
    </row>
    <row r="857" spans="1:15" x14ac:dyDescent="0.25">
      <c r="A857" t="s">
        <v>866</v>
      </c>
      <c r="B857" s="4">
        <v>44973</v>
      </c>
      <c r="C857" s="1">
        <v>45262</v>
      </c>
      <c r="D857">
        <v>21</v>
      </c>
      <c r="E857" t="s">
        <v>911</v>
      </c>
      <c r="F857" t="s">
        <v>919</v>
      </c>
      <c r="G857" t="s">
        <v>920</v>
      </c>
      <c r="H857">
        <v>25756.25</v>
      </c>
      <c r="I857">
        <v>24</v>
      </c>
      <c r="J857">
        <v>76</v>
      </c>
      <c r="K857" t="s">
        <v>925</v>
      </c>
      <c r="L857" t="str">
        <f>IF(ISBLANK(Table1[[#This Row],[CancelDate]]),"Active","Churned")</f>
        <v>Churned</v>
      </c>
      <c r="M857">
        <f ca="1">IF(ISBLANK(Table1[[#This Row],[CancelDate]]),DATEDIF(Table1[[#This Row],[JoinDate]],TODAY(),"M"),DATEDIF(Table1[[#This Row],[JoinDate]],Table1[[#This Row],[CancelDate]],"M"))</f>
        <v>9</v>
      </c>
      <c r="N857" t="str">
        <f>IF(Table1[[#This Row],[EngagementScore]]&lt;=40,"Low",IF(Table1[[#This Row],[EngagementScore]]&lt;=70,"Medium","High"))</f>
        <v>High</v>
      </c>
      <c r="O857" t="str">
        <f>IF(Table1[[#This Row],[Age]]&lt;25,"18-24",
IF(Table1[[#This Row],[Age]]&lt;35,"25-34",
IF(Table1[[#This Row],[Age]]&lt;45,"35-44","45+")))</f>
        <v>18-24</v>
      </c>
    </row>
    <row r="858" spans="1:15" x14ac:dyDescent="0.25">
      <c r="A858" t="s">
        <v>867</v>
      </c>
      <c r="B858" s="4">
        <v>45082</v>
      </c>
      <c r="C858" s="1">
        <v>45255</v>
      </c>
      <c r="D858">
        <v>43</v>
      </c>
      <c r="E858" t="s">
        <v>911</v>
      </c>
      <c r="F858" t="s">
        <v>917</v>
      </c>
      <c r="G858" t="s">
        <v>921</v>
      </c>
      <c r="H858">
        <v>5655.35</v>
      </c>
      <c r="I858">
        <v>4</v>
      </c>
      <c r="J858">
        <v>32</v>
      </c>
      <c r="K858" t="s">
        <v>924</v>
      </c>
      <c r="L858" t="str">
        <f>IF(ISBLANK(Table1[[#This Row],[CancelDate]]),"Active","Churned")</f>
        <v>Churned</v>
      </c>
      <c r="M858">
        <f ca="1">IF(ISBLANK(Table1[[#This Row],[CancelDate]]),DATEDIF(Table1[[#This Row],[JoinDate]],TODAY(),"M"),DATEDIF(Table1[[#This Row],[JoinDate]],Table1[[#This Row],[CancelDate]],"M"))</f>
        <v>5</v>
      </c>
      <c r="N858" t="str">
        <f>IF(Table1[[#This Row],[EngagementScore]]&lt;=40,"Low",IF(Table1[[#This Row],[EngagementScore]]&lt;=70,"Medium","High"))</f>
        <v>Low</v>
      </c>
      <c r="O858" t="str">
        <f>IF(Table1[[#This Row],[Age]]&lt;25,"18-24",
IF(Table1[[#This Row],[Age]]&lt;35,"25-34",
IF(Table1[[#This Row],[Age]]&lt;45,"35-44","45+")))</f>
        <v>35-44</v>
      </c>
    </row>
    <row r="859" spans="1:15" x14ac:dyDescent="0.25">
      <c r="A859" t="s">
        <v>868</v>
      </c>
      <c r="B859" s="4">
        <v>44627</v>
      </c>
      <c r="D859">
        <v>24</v>
      </c>
      <c r="E859" t="s">
        <v>912</v>
      </c>
      <c r="F859" t="s">
        <v>915</v>
      </c>
      <c r="G859" t="s">
        <v>921</v>
      </c>
      <c r="H859">
        <v>7930.71</v>
      </c>
      <c r="I859">
        <v>2</v>
      </c>
      <c r="J859">
        <v>36</v>
      </c>
      <c r="K859" t="s">
        <v>925</v>
      </c>
      <c r="L859" t="str">
        <f>IF(ISBLANK(Table1[[#This Row],[CancelDate]]),"Active","Churned")</f>
        <v>Active</v>
      </c>
      <c r="M859">
        <f ca="1">IF(ISBLANK(Table1[[#This Row],[CancelDate]]),DATEDIF(Table1[[#This Row],[JoinDate]],TODAY(),"M"),DATEDIF(Table1[[#This Row],[JoinDate]],Table1[[#This Row],[CancelDate]],"M"))</f>
        <v>48</v>
      </c>
      <c r="N859" t="str">
        <f>IF(Table1[[#This Row],[EngagementScore]]&lt;=40,"Low",IF(Table1[[#This Row],[EngagementScore]]&lt;=70,"Medium","High"))</f>
        <v>Low</v>
      </c>
      <c r="O859" t="str">
        <f>IF(Table1[[#This Row],[Age]]&lt;25,"18-24",
IF(Table1[[#This Row],[Age]]&lt;35,"25-34",
IF(Table1[[#This Row],[Age]]&lt;45,"35-44","45+")))</f>
        <v>18-24</v>
      </c>
    </row>
    <row r="860" spans="1:15" x14ac:dyDescent="0.25">
      <c r="A860" t="s">
        <v>869</v>
      </c>
      <c r="B860" s="4">
        <v>45094</v>
      </c>
      <c r="D860">
        <v>24</v>
      </c>
      <c r="E860" t="s">
        <v>912</v>
      </c>
      <c r="F860" t="s">
        <v>916</v>
      </c>
      <c r="G860" t="s">
        <v>922</v>
      </c>
      <c r="H860">
        <v>6824.33</v>
      </c>
      <c r="I860">
        <v>1</v>
      </c>
      <c r="J860">
        <v>27</v>
      </c>
      <c r="K860" t="s">
        <v>925</v>
      </c>
      <c r="L860" t="str">
        <f>IF(ISBLANK(Table1[[#This Row],[CancelDate]]),"Active","Churned")</f>
        <v>Active</v>
      </c>
      <c r="M860">
        <f ca="1">IF(ISBLANK(Table1[[#This Row],[CancelDate]]),DATEDIF(Table1[[#This Row],[JoinDate]],TODAY(),"M"),DATEDIF(Table1[[#This Row],[JoinDate]],Table1[[#This Row],[CancelDate]],"M"))</f>
        <v>33</v>
      </c>
      <c r="N860" t="str">
        <f>IF(Table1[[#This Row],[EngagementScore]]&lt;=40,"Low",IF(Table1[[#This Row],[EngagementScore]]&lt;=70,"Medium","High"))</f>
        <v>Low</v>
      </c>
      <c r="O860" t="str">
        <f>IF(Table1[[#This Row],[Age]]&lt;25,"18-24",
IF(Table1[[#This Row],[Age]]&lt;35,"25-34",
IF(Table1[[#This Row],[Age]]&lt;45,"35-44","45+")))</f>
        <v>18-24</v>
      </c>
    </row>
    <row r="861" spans="1:15" x14ac:dyDescent="0.25">
      <c r="A861" t="s">
        <v>870</v>
      </c>
      <c r="B861" s="4">
        <v>44820</v>
      </c>
      <c r="C861" s="1">
        <v>45159</v>
      </c>
      <c r="D861">
        <v>24</v>
      </c>
      <c r="E861" t="s">
        <v>911</v>
      </c>
      <c r="F861" t="s">
        <v>915</v>
      </c>
      <c r="G861" t="s">
        <v>921</v>
      </c>
      <c r="H861">
        <v>12884.73</v>
      </c>
      <c r="I861">
        <v>13</v>
      </c>
      <c r="J861">
        <v>55</v>
      </c>
      <c r="K861" t="s">
        <v>925</v>
      </c>
      <c r="L861" t="str">
        <f>IF(ISBLANK(Table1[[#This Row],[CancelDate]]),"Active","Churned")</f>
        <v>Churned</v>
      </c>
      <c r="M861">
        <f ca="1">IF(ISBLANK(Table1[[#This Row],[CancelDate]]),DATEDIF(Table1[[#This Row],[JoinDate]],TODAY(),"M"),DATEDIF(Table1[[#This Row],[JoinDate]],Table1[[#This Row],[CancelDate]],"M"))</f>
        <v>11</v>
      </c>
      <c r="N861" t="str">
        <f>IF(Table1[[#This Row],[EngagementScore]]&lt;=40,"Low",IF(Table1[[#This Row],[EngagementScore]]&lt;=70,"Medium","High"))</f>
        <v>Medium</v>
      </c>
      <c r="O861" t="str">
        <f>IF(Table1[[#This Row],[Age]]&lt;25,"18-24",
IF(Table1[[#This Row],[Age]]&lt;35,"25-34",
IF(Table1[[#This Row],[Age]]&lt;45,"35-44","45+")))</f>
        <v>18-24</v>
      </c>
    </row>
    <row r="862" spans="1:15" x14ac:dyDescent="0.25">
      <c r="A862" t="s">
        <v>871</v>
      </c>
      <c r="B862" s="4">
        <v>45248</v>
      </c>
      <c r="C862" s="1">
        <v>45437</v>
      </c>
      <c r="D862">
        <v>30</v>
      </c>
      <c r="E862" t="s">
        <v>911</v>
      </c>
      <c r="F862" t="s">
        <v>914</v>
      </c>
      <c r="G862" t="s">
        <v>921</v>
      </c>
      <c r="H862">
        <v>4100.76</v>
      </c>
      <c r="I862">
        <v>1</v>
      </c>
      <c r="J862">
        <v>12</v>
      </c>
      <c r="K862" t="s">
        <v>923</v>
      </c>
      <c r="L862" t="str">
        <f>IF(ISBLANK(Table1[[#This Row],[CancelDate]]),"Active","Churned")</f>
        <v>Churned</v>
      </c>
      <c r="M862">
        <f ca="1">IF(ISBLANK(Table1[[#This Row],[CancelDate]]),DATEDIF(Table1[[#This Row],[JoinDate]],TODAY(),"M"),DATEDIF(Table1[[#This Row],[JoinDate]],Table1[[#This Row],[CancelDate]],"M"))</f>
        <v>6</v>
      </c>
      <c r="N862" t="str">
        <f>IF(Table1[[#This Row],[EngagementScore]]&lt;=40,"Low",IF(Table1[[#This Row],[EngagementScore]]&lt;=70,"Medium","High"))</f>
        <v>Low</v>
      </c>
      <c r="O862" t="str">
        <f>IF(Table1[[#This Row],[Age]]&lt;25,"18-24",
IF(Table1[[#This Row],[Age]]&lt;35,"25-34",
IF(Table1[[#This Row],[Age]]&lt;45,"35-44","45+")))</f>
        <v>25-34</v>
      </c>
    </row>
    <row r="863" spans="1:15" x14ac:dyDescent="0.25">
      <c r="A863" t="s">
        <v>872</v>
      </c>
      <c r="B863" s="4">
        <v>45053</v>
      </c>
      <c r="D863">
        <v>47</v>
      </c>
      <c r="E863" t="s">
        <v>911</v>
      </c>
      <c r="F863" t="s">
        <v>916</v>
      </c>
      <c r="G863" t="s">
        <v>921</v>
      </c>
      <c r="H863">
        <v>25515.73</v>
      </c>
      <c r="I863">
        <v>13</v>
      </c>
      <c r="J863">
        <v>93</v>
      </c>
      <c r="K863" t="s">
        <v>923</v>
      </c>
      <c r="L863" t="str">
        <f>IF(ISBLANK(Table1[[#This Row],[CancelDate]]),"Active","Churned")</f>
        <v>Active</v>
      </c>
      <c r="M863">
        <f ca="1">IF(ISBLANK(Table1[[#This Row],[CancelDate]]),DATEDIF(Table1[[#This Row],[JoinDate]],TODAY(),"M"),DATEDIF(Table1[[#This Row],[JoinDate]],Table1[[#This Row],[CancelDate]],"M"))</f>
        <v>34</v>
      </c>
      <c r="N863" t="str">
        <f>IF(Table1[[#This Row],[EngagementScore]]&lt;=40,"Low",IF(Table1[[#This Row],[EngagementScore]]&lt;=70,"Medium","High"))</f>
        <v>High</v>
      </c>
      <c r="O863" t="str">
        <f>IF(Table1[[#This Row],[Age]]&lt;25,"18-24",
IF(Table1[[#This Row],[Age]]&lt;35,"25-34",
IF(Table1[[#This Row],[Age]]&lt;45,"35-44","45+")))</f>
        <v>45+</v>
      </c>
    </row>
    <row r="864" spans="1:15" x14ac:dyDescent="0.25">
      <c r="A864" t="s">
        <v>873</v>
      </c>
      <c r="B864" s="4">
        <v>44639</v>
      </c>
      <c r="D864">
        <v>40</v>
      </c>
      <c r="E864" t="s">
        <v>911</v>
      </c>
      <c r="F864" t="s">
        <v>916</v>
      </c>
      <c r="G864" t="s">
        <v>921</v>
      </c>
      <c r="H864">
        <v>13452.01</v>
      </c>
      <c r="I864">
        <v>10</v>
      </c>
      <c r="J864">
        <v>67</v>
      </c>
      <c r="K864" t="s">
        <v>923</v>
      </c>
      <c r="L864" t="str">
        <f>IF(ISBLANK(Table1[[#This Row],[CancelDate]]),"Active","Churned")</f>
        <v>Active</v>
      </c>
      <c r="M864">
        <f ca="1">IF(ISBLANK(Table1[[#This Row],[CancelDate]]),DATEDIF(Table1[[#This Row],[JoinDate]],TODAY(),"M"),DATEDIF(Table1[[#This Row],[JoinDate]],Table1[[#This Row],[CancelDate]],"M"))</f>
        <v>48</v>
      </c>
      <c r="N864" t="str">
        <f>IF(Table1[[#This Row],[EngagementScore]]&lt;=40,"Low",IF(Table1[[#This Row],[EngagementScore]]&lt;=70,"Medium","High"))</f>
        <v>Medium</v>
      </c>
      <c r="O864" t="str">
        <f>IF(Table1[[#This Row],[Age]]&lt;25,"18-24",
IF(Table1[[#This Row],[Age]]&lt;35,"25-34",
IF(Table1[[#This Row],[Age]]&lt;45,"35-44","45+")))</f>
        <v>35-44</v>
      </c>
    </row>
    <row r="865" spans="1:15" x14ac:dyDescent="0.25">
      <c r="A865" t="s">
        <v>874</v>
      </c>
      <c r="B865" s="4">
        <v>45338</v>
      </c>
      <c r="D865">
        <v>39</v>
      </c>
      <c r="E865" t="s">
        <v>912</v>
      </c>
      <c r="F865" t="s">
        <v>916</v>
      </c>
      <c r="G865" t="s">
        <v>921</v>
      </c>
      <c r="H865">
        <v>10308.700000000001</v>
      </c>
      <c r="I865">
        <v>11</v>
      </c>
      <c r="J865">
        <v>67</v>
      </c>
      <c r="K865" t="s">
        <v>923</v>
      </c>
      <c r="L865" t="str">
        <f>IF(ISBLANK(Table1[[#This Row],[CancelDate]]),"Active","Churned")</f>
        <v>Active</v>
      </c>
      <c r="M865">
        <f ca="1">IF(ISBLANK(Table1[[#This Row],[CancelDate]]),DATEDIF(Table1[[#This Row],[JoinDate]],TODAY(),"M"),DATEDIF(Table1[[#This Row],[JoinDate]],Table1[[#This Row],[CancelDate]],"M"))</f>
        <v>25</v>
      </c>
      <c r="N865" t="str">
        <f>IF(Table1[[#This Row],[EngagementScore]]&lt;=40,"Low",IF(Table1[[#This Row],[EngagementScore]]&lt;=70,"Medium","High"))</f>
        <v>Medium</v>
      </c>
      <c r="O865" t="str">
        <f>IF(Table1[[#This Row],[Age]]&lt;25,"18-24",
IF(Table1[[#This Row],[Age]]&lt;35,"25-34",
IF(Table1[[#This Row],[Age]]&lt;45,"35-44","45+")))</f>
        <v>35-44</v>
      </c>
    </row>
    <row r="866" spans="1:15" x14ac:dyDescent="0.25">
      <c r="A866" t="s">
        <v>875</v>
      </c>
      <c r="B866" s="4">
        <v>44967</v>
      </c>
      <c r="C866" s="1">
        <v>45046</v>
      </c>
      <c r="D866">
        <v>28</v>
      </c>
      <c r="E866" t="s">
        <v>911</v>
      </c>
      <c r="F866" t="s">
        <v>917</v>
      </c>
      <c r="G866" t="s">
        <v>922</v>
      </c>
      <c r="H866">
        <v>3068.07</v>
      </c>
      <c r="I866">
        <v>5</v>
      </c>
      <c r="J866">
        <v>17</v>
      </c>
      <c r="K866" t="s">
        <v>925</v>
      </c>
      <c r="L866" t="str">
        <f>IF(ISBLANK(Table1[[#This Row],[CancelDate]]),"Active","Churned")</f>
        <v>Churned</v>
      </c>
      <c r="M866">
        <f ca="1">IF(ISBLANK(Table1[[#This Row],[CancelDate]]),DATEDIF(Table1[[#This Row],[JoinDate]],TODAY(),"M"),DATEDIF(Table1[[#This Row],[JoinDate]],Table1[[#This Row],[CancelDate]],"M"))</f>
        <v>2</v>
      </c>
      <c r="N866" t="str">
        <f>IF(Table1[[#This Row],[EngagementScore]]&lt;=40,"Low",IF(Table1[[#This Row],[EngagementScore]]&lt;=70,"Medium","High"))</f>
        <v>Low</v>
      </c>
      <c r="O866" t="str">
        <f>IF(Table1[[#This Row],[Age]]&lt;25,"18-24",
IF(Table1[[#This Row],[Age]]&lt;35,"25-34",
IF(Table1[[#This Row],[Age]]&lt;45,"35-44","45+")))</f>
        <v>25-34</v>
      </c>
    </row>
    <row r="867" spans="1:15" x14ac:dyDescent="0.25">
      <c r="A867" t="s">
        <v>876</v>
      </c>
      <c r="B867" s="4">
        <v>44701</v>
      </c>
      <c r="D867">
        <v>28</v>
      </c>
      <c r="E867" t="s">
        <v>911</v>
      </c>
      <c r="F867" t="s">
        <v>915</v>
      </c>
      <c r="G867" t="s">
        <v>921</v>
      </c>
      <c r="H867">
        <v>29326.959999999999</v>
      </c>
      <c r="I867">
        <v>20</v>
      </c>
      <c r="J867">
        <v>96</v>
      </c>
      <c r="K867" t="s">
        <v>923</v>
      </c>
      <c r="L867" t="str">
        <f>IF(ISBLANK(Table1[[#This Row],[CancelDate]]),"Active","Churned")</f>
        <v>Active</v>
      </c>
      <c r="M867">
        <f ca="1">IF(ISBLANK(Table1[[#This Row],[CancelDate]]),DATEDIF(Table1[[#This Row],[JoinDate]],TODAY(),"M"),DATEDIF(Table1[[#This Row],[JoinDate]],Table1[[#This Row],[CancelDate]],"M"))</f>
        <v>46</v>
      </c>
      <c r="N867" t="str">
        <f>IF(Table1[[#This Row],[EngagementScore]]&lt;=40,"Low",IF(Table1[[#This Row],[EngagementScore]]&lt;=70,"Medium","High"))</f>
        <v>High</v>
      </c>
      <c r="O867" t="str">
        <f>IF(Table1[[#This Row],[Age]]&lt;25,"18-24",
IF(Table1[[#This Row],[Age]]&lt;35,"25-34",
IF(Table1[[#This Row],[Age]]&lt;45,"35-44","45+")))</f>
        <v>25-34</v>
      </c>
    </row>
    <row r="868" spans="1:15" x14ac:dyDescent="0.25">
      <c r="A868" t="s">
        <v>877</v>
      </c>
      <c r="B868" s="4">
        <v>44626</v>
      </c>
      <c r="D868">
        <v>21</v>
      </c>
      <c r="E868" t="s">
        <v>911</v>
      </c>
      <c r="F868" t="s">
        <v>917</v>
      </c>
      <c r="G868" t="s">
        <v>921</v>
      </c>
      <c r="H868">
        <v>8493.02</v>
      </c>
      <c r="I868">
        <v>6</v>
      </c>
      <c r="J868">
        <v>58</v>
      </c>
      <c r="K868" t="s">
        <v>923</v>
      </c>
      <c r="L868" t="str">
        <f>IF(ISBLANK(Table1[[#This Row],[CancelDate]]),"Active","Churned")</f>
        <v>Active</v>
      </c>
      <c r="M868">
        <f ca="1">IF(ISBLANK(Table1[[#This Row],[CancelDate]]),DATEDIF(Table1[[#This Row],[JoinDate]],TODAY(),"M"),DATEDIF(Table1[[#This Row],[JoinDate]],Table1[[#This Row],[CancelDate]],"M"))</f>
        <v>48</v>
      </c>
      <c r="N868" t="str">
        <f>IF(Table1[[#This Row],[EngagementScore]]&lt;=40,"Low",IF(Table1[[#This Row],[EngagementScore]]&lt;=70,"Medium","High"))</f>
        <v>Medium</v>
      </c>
      <c r="O868" t="str">
        <f>IF(Table1[[#This Row],[Age]]&lt;25,"18-24",
IF(Table1[[#This Row],[Age]]&lt;35,"25-34",
IF(Table1[[#This Row],[Age]]&lt;45,"35-44","45+")))</f>
        <v>18-24</v>
      </c>
    </row>
    <row r="869" spans="1:15" x14ac:dyDescent="0.25">
      <c r="A869" t="s">
        <v>878</v>
      </c>
      <c r="B869" s="4">
        <v>44572</v>
      </c>
      <c r="C869" s="1">
        <v>44718</v>
      </c>
      <c r="D869">
        <v>35</v>
      </c>
      <c r="E869" t="s">
        <v>911</v>
      </c>
      <c r="F869" t="s">
        <v>917</v>
      </c>
      <c r="G869" t="s">
        <v>920</v>
      </c>
      <c r="H869">
        <v>3844.44</v>
      </c>
      <c r="I869">
        <v>2</v>
      </c>
      <c r="J869">
        <v>28</v>
      </c>
      <c r="K869" t="s">
        <v>925</v>
      </c>
      <c r="L869" t="str">
        <f>IF(ISBLANK(Table1[[#This Row],[CancelDate]]),"Active","Churned")</f>
        <v>Churned</v>
      </c>
      <c r="M869">
        <f ca="1">IF(ISBLANK(Table1[[#This Row],[CancelDate]]),DATEDIF(Table1[[#This Row],[JoinDate]],TODAY(),"M"),DATEDIF(Table1[[#This Row],[JoinDate]],Table1[[#This Row],[CancelDate]],"M"))</f>
        <v>4</v>
      </c>
      <c r="N869" t="str">
        <f>IF(Table1[[#This Row],[EngagementScore]]&lt;=40,"Low",IF(Table1[[#This Row],[EngagementScore]]&lt;=70,"Medium","High"))</f>
        <v>Low</v>
      </c>
      <c r="O869" t="str">
        <f>IF(Table1[[#This Row],[Age]]&lt;25,"18-24",
IF(Table1[[#This Row],[Age]]&lt;35,"25-34",
IF(Table1[[#This Row],[Age]]&lt;45,"35-44","45+")))</f>
        <v>35-44</v>
      </c>
    </row>
    <row r="870" spans="1:15" x14ac:dyDescent="0.25">
      <c r="A870" t="s">
        <v>879</v>
      </c>
      <c r="B870" s="4">
        <v>45435</v>
      </c>
      <c r="D870">
        <v>54</v>
      </c>
      <c r="E870" t="s">
        <v>912</v>
      </c>
      <c r="F870" t="s">
        <v>919</v>
      </c>
      <c r="G870" t="s">
        <v>922</v>
      </c>
      <c r="H870">
        <v>29227.26</v>
      </c>
      <c r="I870">
        <v>27</v>
      </c>
      <c r="J870">
        <v>86</v>
      </c>
      <c r="K870" t="s">
        <v>925</v>
      </c>
      <c r="L870" t="str">
        <f>IF(ISBLANK(Table1[[#This Row],[CancelDate]]),"Active","Churned")</f>
        <v>Active</v>
      </c>
      <c r="M870">
        <f ca="1">IF(ISBLANK(Table1[[#This Row],[CancelDate]]),DATEDIF(Table1[[#This Row],[JoinDate]],TODAY(),"M"),DATEDIF(Table1[[#This Row],[JoinDate]],Table1[[#This Row],[CancelDate]],"M"))</f>
        <v>22</v>
      </c>
      <c r="N870" t="str">
        <f>IF(Table1[[#This Row],[EngagementScore]]&lt;=40,"Low",IF(Table1[[#This Row],[EngagementScore]]&lt;=70,"Medium","High"))</f>
        <v>High</v>
      </c>
      <c r="O870" t="str">
        <f>IF(Table1[[#This Row],[Age]]&lt;25,"18-24",
IF(Table1[[#This Row],[Age]]&lt;35,"25-34",
IF(Table1[[#This Row],[Age]]&lt;45,"35-44","45+")))</f>
        <v>45+</v>
      </c>
    </row>
    <row r="871" spans="1:15" x14ac:dyDescent="0.25">
      <c r="A871" t="s">
        <v>880</v>
      </c>
      <c r="B871" s="4">
        <v>45194</v>
      </c>
      <c r="D871">
        <v>39</v>
      </c>
      <c r="E871" t="s">
        <v>911</v>
      </c>
      <c r="F871" t="s">
        <v>915</v>
      </c>
      <c r="G871" t="s">
        <v>921</v>
      </c>
      <c r="H871">
        <v>23091.439999999999</v>
      </c>
      <c r="I871">
        <v>12</v>
      </c>
      <c r="J871">
        <v>70</v>
      </c>
      <c r="K871" t="s">
        <v>913</v>
      </c>
      <c r="L871" t="str">
        <f>IF(ISBLANK(Table1[[#This Row],[CancelDate]]),"Active","Churned")</f>
        <v>Active</v>
      </c>
      <c r="M871">
        <f ca="1">IF(ISBLANK(Table1[[#This Row],[CancelDate]]),DATEDIF(Table1[[#This Row],[JoinDate]],TODAY(),"M"),DATEDIF(Table1[[#This Row],[JoinDate]],Table1[[#This Row],[CancelDate]],"M"))</f>
        <v>30</v>
      </c>
      <c r="N871" t="str">
        <f>IF(Table1[[#This Row],[EngagementScore]]&lt;=40,"Low",IF(Table1[[#This Row],[EngagementScore]]&lt;=70,"Medium","High"))</f>
        <v>Medium</v>
      </c>
      <c r="O871" t="str">
        <f>IF(Table1[[#This Row],[Age]]&lt;25,"18-24",
IF(Table1[[#This Row],[Age]]&lt;35,"25-34",
IF(Table1[[#This Row],[Age]]&lt;45,"35-44","45+")))</f>
        <v>35-44</v>
      </c>
    </row>
    <row r="872" spans="1:15" x14ac:dyDescent="0.25">
      <c r="A872" t="s">
        <v>881</v>
      </c>
      <c r="B872" s="4">
        <v>45443</v>
      </c>
      <c r="D872">
        <v>49</v>
      </c>
      <c r="E872" t="s">
        <v>912</v>
      </c>
      <c r="F872" t="s">
        <v>915</v>
      </c>
      <c r="G872" t="s">
        <v>921</v>
      </c>
      <c r="H872">
        <v>10502.38</v>
      </c>
      <c r="I872">
        <v>12</v>
      </c>
      <c r="J872">
        <v>48</v>
      </c>
      <c r="K872" t="s">
        <v>923</v>
      </c>
      <c r="L872" t="str">
        <f>IF(ISBLANK(Table1[[#This Row],[CancelDate]]),"Active","Churned")</f>
        <v>Active</v>
      </c>
      <c r="M872">
        <f ca="1">IF(ISBLANK(Table1[[#This Row],[CancelDate]]),DATEDIF(Table1[[#This Row],[JoinDate]],TODAY(),"M"),DATEDIF(Table1[[#This Row],[JoinDate]],Table1[[#This Row],[CancelDate]],"M"))</f>
        <v>22</v>
      </c>
      <c r="N872" t="str">
        <f>IF(Table1[[#This Row],[EngagementScore]]&lt;=40,"Low",IF(Table1[[#This Row],[EngagementScore]]&lt;=70,"Medium","High"))</f>
        <v>Medium</v>
      </c>
      <c r="O872" t="str">
        <f>IF(Table1[[#This Row],[Age]]&lt;25,"18-24",
IF(Table1[[#This Row],[Age]]&lt;35,"25-34",
IF(Table1[[#This Row],[Age]]&lt;45,"35-44","45+")))</f>
        <v>45+</v>
      </c>
    </row>
    <row r="873" spans="1:15" x14ac:dyDescent="0.25">
      <c r="A873" t="s">
        <v>882</v>
      </c>
      <c r="B873" s="4">
        <v>44979</v>
      </c>
      <c r="C873" s="1">
        <v>45113</v>
      </c>
      <c r="D873">
        <v>58</v>
      </c>
      <c r="E873" t="s">
        <v>911</v>
      </c>
      <c r="F873" t="s">
        <v>914</v>
      </c>
      <c r="G873" t="s">
        <v>920</v>
      </c>
      <c r="H873">
        <v>4894.1000000000004</v>
      </c>
      <c r="I873">
        <v>3</v>
      </c>
      <c r="J873">
        <v>23</v>
      </c>
      <c r="K873" t="s">
        <v>923</v>
      </c>
      <c r="L873" t="str">
        <f>IF(ISBLANK(Table1[[#This Row],[CancelDate]]),"Active","Churned")</f>
        <v>Churned</v>
      </c>
      <c r="M873">
        <f ca="1">IF(ISBLANK(Table1[[#This Row],[CancelDate]]),DATEDIF(Table1[[#This Row],[JoinDate]],TODAY(),"M"),DATEDIF(Table1[[#This Row],[JoinDate]],Table1[[#This Row],[CancelDate]],"M"))</f>
        <v>4</v>
      </c>
      <c r="N873" t="str">
        <f>IF(Table1[[#This Row],[EngagementScore]]&lt;=40,"Low",IF(Table1[[#This Row],[EngagementScore]]&lt;=70,"Medium","High"))</f>
        <v>Low</v>
      </c>
      <c r="O873" t="str">
        <f>IF(Table1[[#This Row],[Age]]&lt;25,"18-24",
IF(Table1[[#This Row],[Age]]&lt;35,"25-34",
IF(Table1[[#This Row],[Age]]&lt;45,"35-44","45+")))</f>
        <v>45+</v>
      </c>
    </row>
    <row r="874" spans="1:15" x14ac:dyDescent="0.25">
      <c r="A874" t="s">
        <v>883</v>
      </c>
      <c r="B874" s="4">
        <v>45357</v>
      </c>
      <c r="C874" s="1">
        <v>45674</v>
      </c>
      <c r="D874">
        <v>43</v>
      </c>
      <c r="E874" t="s">
        <v>912</v>
      </c>
      <c r="F874" t="s">
        <v>919</v>
      </c>
      <c r="G874" t="s">
        <v>921</v>
      </c>
      <c r="H874">
        <v>7163.67</v>
      </c>
      <c r="I874">
        <v>1</v>
      </c>
      <c r="J874">
        <v>35</v>
      </c>
      <c r="K874" t="s">
        <v>923</v>
      </c>
      <c r="L874" t="str">
        <f>IF(ISBLANK(Table1[[#This Row],[CancelDate]]),"Active","Churned")</f>
        <v>Churned</v>
      </c>
      <c r="M874">
        <f ca="1">IF(ISBLANK(Table1[[#This Row],[CancelDate]]),DATEDIF(Table1[[#This Row],[JoinDate]],TODAY(),"M"),DATEDIF(Table1[[#This Row],[JoinDate]],Table1[[#This Row],[CancelDate]],"M"))</f>
        <v>10</v>
      </c>
      <c r="N874" t="str">
        <f>IF(Table1[[#This Row],[EngagementScore]]&lt;=40,"Low",IF(Table1[[#This Row],[EngagementScore]]&lt;=70,"Medium","High"))</f>
        <v>Low</v>
      </c>
      <c r="O874" t="str">
        <f>IF(Table1[[#This Row],[Age]]&lt;25,"18-24",
IF(Table1[[#This Row],[Age]]&lt;35,"25-34",
IF(Table1[[#This Row],[Age]]&lt;45,"35-44","45+")))</f>
        <v>35-44</v>
      </c>
    </row>
    <row r="875" spans="1:15" x14ac:dyDescent="0.25">
      <c r="A875" t="s">
        <v>884</v>
      </c>
      <c r="B875" s="4">
        <v>44593</v>
      </c>
      <c r="D875">
        <v>31</v>
      </c>
      <c r="E875" t="s">
        <v>911</v>
      </c>
      <c r="F875" t="s">
        <v>915</v>
      </c>
      <c r="G875" t="s">
        <v>921</v>
      </c>
      <c r="H875">
        <v>8610.84</v>
      </c>
      <c r="I875">
        <v>12</v>
      </c>
      <c r="J875">
        <v>58</v>
      </c>
      <c r="K875" t="s">
        <v>923</v>
      </c>
      <c r="L875" t="str">
        <f>IF(ISBLANK(Table1[[#This Row],[CancelDate]]),"Active","Churned")</f>
        <v>Active</v>
      </c>
      <c r="M875">
        <f ca="1">IF(ISBLANK(Table1[[#This Row],[CancelDate]]),DATEDIF(Table1[[#This Row],[JoinDate]],TODAY(),"M"),DATEDIF(Table1[[#This Row],[JoinDate]],Table1[[#This Row],[CancelDate]],"M"))</f>
        <v>50</v>
      </c>
      <c r="N875" t="str">
        <f>IF(Table1[[#This Row],[EngagementScore]]&lt;=40,"Low",IF(Table1[[#This Row],[EngagementScore]]&lt;=70,"Medium","High"))</f>
        <v>Medium</v>
      </c>
      <c r="O875" t="str">
        <f>IF(Table1[[#This Row],[Age]]&lt;25,"18-24",
IF(Table1[[#This Row],[Age]]&lt;35,"25-34",
IF(Table1[[#This Row],[Age]]&lt;45,"35-44","45+")))</f>
        <v>25-34</v>
      </c>
    </row>
    <row r="876" spans="1:15" x14ac:dyDescent="0.25">
      <c r="A876" t="s">
        <v>885</v>
      </c>
      <c r="B876" s="4">
        <v>44593</v>
      </c>
      <c r="D876">
        <v>27</v>
      </c>
      <c r="E876" t="s">
        <v>911</v>
      </c>
      <c r="F876" t="s">
        <v>919</v>
      </c>
      <c r="G876" t="s">
        <v>921</v>
      </c>
      <c r="H876">
        <v>7501.53</v>
      </c>
      <c r="I876">
        <v>7</v>
      </c>
      <c r="J876">
        <v>17</v>
      </c>
      <c r="K876" t="s">
        <v>925</v>
      </c>
      <c r="L876" t="str">
        <f>IF(ISBLANK(Table1[[#This Row],[CancelDate]]),"Active","Churned")</f>
        <v>Active</v>
      </c>
      <c r="M876">
        <f ca="1">IF(ISBLANK(Table1[[#This Row],[CancelDate]]),DATEDIF(Table1[[#This Row],[JoinDate]],TODAY(),"M"),DATEDIF(Table1[[#This Row],[JoinDate]],Table1[[#This Row],[CancelDate]],"M"))</f>
        <v>50</v>
      </c>
      <c r="N876" t="str">
        <f>IF(Table1[[#This Row],[EngagementScore]]&lt;=40,"Low",IF(Table1[[#This Row],[EngagementScore]]&lt;=70,"Medium","High"))</f>
        <v>Low</v>
      </c>
      <c r="O876" t="str">
        <f>IF(Table1[[#This Row],[Age]]&lt;25,"18-24",
IF(Table1[[#This Row],[Age]]&lt;35,"25-34",
IF(Table1[[#This Row],[Age]]&lt;45,"35-44","45+")))</f>
        <v>25-34</v>
      </c>
    </row>
    <row r="877" spans="1:15" x14ac:dyDescent="0.25">
      <c r="A877" t="s">
        <v>886</v>
      </c>
      <c r="B877" s="4">
        <v>45363</v>
      </c>
      <c r="C877" s="1">
        <v>45399</v>
      </c>
      <c r="D877">
        <v>34</v>
      </c>
      <c r="E877" t="s">
        <v>912</v>
      </c>
      <c r="F877" t="s">
        <v>919</v>
      </c>
      <c r="G877" t="s">
        <v>922</v>
      </c>
      <c r="H877">
        <v>9770.41</v>
      </c>
      <c r="I877">
        <v>7</v>
      </c>
      <c r="J877">
        <v>59</v>
      </c>
      <c r="K877" t="s">
        <v>925</v>
      </c>
      <c r="L877" t="str">
        <f>IF(ISBLANK(Table1[[#This Row],[CancelDate]]),"Active","Churned")</f>
        <v>Churned</v>
      </c>
      <c r="M877">
        <f ca="1">IF(ISBLANK(Table1[[#This Row],[CancelDate]]),DATEDIF(Table1[[#This Row],[JoinDate]],TODAY(),"M"),DATEDIF(Table1[[#This Row],[JoinDate]],Table1[[#This Row],[CancelDate]],"M"))</f>
        <v>1</v>
      </c>
      <c r="N877" t="str">
        <f>IF(Table1[[#This Row],[EngagementScore]]&lt;=40,"Low",IF(Table1[[#This Row],[EngagementScore]]&lt;=70,"Medium","High"))</f>
        <v>Medium</v>
      </c>
      <c r="O877" t="str">
        <f>IF(Table1[[#This Row],[Age]]&lt;25,"18-24",
IF(Table1[[#This Row],[Age]]&lt;35,"25-34",
IF(Table1[[#This Row],[Age]]&lt;45,"35-44","45+")))</f>
        <v>25-34</v>
      </c>
    </row>
    <row r="878" spans="1:15" x14ac:dyDescent="0.25">
      <c r="A878" t="s">
        <v>887</v>
      </c>
      <c r="B878" s="4">
        <v>44827</v>
      </c>
      <c r="C878" s="1">
        <v>44920</v>
      </c>
      <c r="D878">
        <v>27</v>
      </c>
      <c r="E878" t="s">
        <v>911</v>
      </c>
      <c r="F878" t="s">
        <v>918</v>
      </c>
      <c r="G878" t="s">
        <v>922</v>
      </c>
      <c r="H878">
        <v>14781.79</v>
      </c>
      <c r="I878">
        <v>8</v>
      </c>
      <c r="J878">
        <v>56</v>
      </c>
      <c r="K878" t="s">
        <v>923</v>
      </c>
      <c r="L878" t="str">
        <f>IF(ISBLANK(Table1[[#This Row],[CancelDate]]),"Active","Churned")</f>
        <v>Churned</v>
      </c>
      <c r="M878">
        <f ca="1">IF(ISBLANK(Table1[[#This Row],[CancelDate]]),DATEDIF(Table1[[#This Row],[JoinDate]],TODAY(),"M"),DATEDIF(Table1[[#This Row],[JoinDate]],Table1[[#This Row],[CancelDate]],"M"))</f>
        <v>3</v>
      </c>
      <c r="N878" t="str">
        <f>IF(Table1[[#This Row],[EngagementScore]]&lt;=40,"Low",IF(Table1[[#This Row],[EngagementScore]]&lt;=70,"Medium","High"))</f>
        <v>Medium</v>
      </c>
      <c r="O878" t="str">
        <f>IF(Table1[[#This Row],[Age]]&lt;25,"18-24",
IF(Table1[[#This Row],[Age]]&lt;35,"25-34",
IF(Table1[[#This Row],[Age]]&lt;45,"35-44","45+")))</f>
        <v>25-34</v>
      </c>
    </row>
    <row r="879" spans="1:15" x14ac:dyDescent="0.25">
      <c r="A879" t="s">
        <v>888</v>
      </c>
      <c r="B879" s="4">
        <v>45295</v>
      </c>
      <c r="D879">
        <v>37</v>
      </c>
      <c r="E879" t="s">
        <v>911</v>
      </c>
      <c r="F879" t="s">
        <v>914</v>
      </c>
      <c r="G879" t="s">
        <v>920</v>
      </c>
      <c r="H879">
        <v>21840.25</v>
      </c>
      <c r="I879">
        <v>18</v>
      </c>
      <c r="J879">
        <v>81</v>
      </c>
      <c r="K879" t="s">
        <v>923</v>
      </c>
      <c r="L879" t="str">
        <f>IF(ISBLANK(Table1[[#This Row],[CancelDate]]),"Active","Churned")</f>
        <v>Active</v>
      </c>
      <c r="M879">
        <f ca="1">IF(ISBLANK(Table1[[#This Row],[CancelDate]]),DATEDIF(Table1[[#This Row],[JoinDate]],TODAY(),"M"),DATEDIF(Table1[[#This Row],[JoinDate]],Table1[[#This Row],[CancelDate]],"M"))</f>
        <v>26</v>
      </c>
      <c r="N879" t="str">
        <f>IF(Table1[[#This Row],[EngagementScore]]&lt;=40,"Low",IF(Table1[[#This Row],[EngagementScore]]&lt;=70,"Medium","High"))</f>
        <v>High</v>
      </c>
      <c r="O879" t="str">
        <f>IF(Table1[[#This Row],[Age]]&lt;25,"18-24",
IF(Table1[[#This Row],[Age]]&lt;35,"25-34",
IF(Table1[[#This Row],[Age]]&lt;45,"35-44","45+")))</f>
        <v>35-44</v>
      </c>
    </row>
    <row r="880" spans="1:15" x14ac:dyDescent="0.25">
      <c r="A880" t="s">
        <v>889</v>
      </c>
      <c r="B880" s="4">
        <v>45408</v>
      </c>
      <c r="D880">
        <v>31</v>
      </c>
      <c r="E880" t="s">
        <v>912</v>
      </c>
      <c r="F880" t="s">
        <v>917</v>
      </c>
      <c r="G880" t="s">
        <v>920</v>
      </c>
      <c r="H880">
        <v>5216.7700000000004</v>
      </c>
      <c r="I880">
        <v>5</v>
      </c>
      <c r="J880">
        <v>35</v>
      </c>
      <c r="K880" t="s">
        <v>924</v>
      </c>
      <c r="L880" t="str">
        <f>IF(ISBLANK(Table1[[#This Row],[CancelDate]]),"Active","Churned")</f>
        <v>Active</v>
      </c>
      <c r="M880">
        <f ca="1">IF(ISBLANK(Table1[[#This Row],[CancelDate]]),DATEDIF(Table1[[#This Row],[JoinDate]],TODAY(),"M"),DATEDIF(Table1[[#This Row],[JoinDate]],Table1[[#This Row],[CancelDate]],"M"))</f>
        <v>23</v>
      </c>
      <c r="N880" t="str">
        <f>IF(Table1[[#This Row],[EngagementScore]]&lt;=40,"Low",IF(Table1[[#This Row],[EngagementScore]]&lt;=70,"Medium","High"))</f>
        <v>Low</v>
      </c>
      <c r="O880" t="str">
        <f>IF(Table1[[#This Row],[Age]]&lt;25,"18-24",
IF(Table1[[#This Row],[Age]]&lt;35,"25-34",
IF(Table1[[#This Row],[Age]]&lt;45,"35-44","45+")))</f>
        <v>25-34</v>
      </c>
    </row>
    <row r="881" spans="1:15" x14ac:dyDescent="0.25">
      <c r="A881" t="s">
        <v>890</v>
      </c>
      <c r="B881" s="4">
        <v>44628</v>
      </c>
      <c r="C881" s="1">
        <v>44688</v>
      </c>
      <c r="D881">
        <v>51</v>
      </c>
      <c r="E881" t="s">
        <v>912</v>
      </c>
      <c r="F881" t="s">
        <v>914</v>
      </c>
      <c r="G881" t="s">
        <v>922</v>
      </c>
      <c r="H881">
        <v>5580.41</v>
      </c>
      <c r="I881">
        <v>4</v>
      </c>
      <c r="J881">
        <v>30</v>
      </c>
      <c r="K881" t="s">
        <v>923</v>
      </c>
      <c r="L881" t="str">
        <f>IF(ISBLANK(Table1[[#This Row],[CancelDate]]),"Active","Churned")</f>
        <v>Churned</v>
      </c>
      <c r="M881">
        <f ca="1">IF(ISBLANK(Table1[[#This Row],[CancelDate]]),DATEDIF(Table1[[#This Row],[JoinDate]],TODAY(),"M"),DATEDIF(Table1[[#This Row],[JoinDate]],Table1[[#This Row],[CancelDate]],"M"))</f>
        <v>1</v>
      </c>
      <c r="N881" t="str">
        <f>IF(Table1[[#This Row],[EngagementScore]]&lt;=40,"Low",IF(Table1[[#This Row],[EngagementScore]]&lt;=70,"Medium","High"))</f>
        <v>Low</v>
      </c>
      <c r="O881" t="str">
        <f>IF(Table1[[#This Row],[Age]]&lt;25,"18-24",
IF(Table1[[#This Row],[Age]]&lt;35,"25-34",
IF(Table1[[#This Row],[Age]]&lt;45,"35-44","45+")))</f>
        <v>45+</v>
      </c>
    </row>
    <row r="882" spans="1:15" x14ac:dyDescent="0.25">
      <c r="A882" t="s">
        <v>891</v>
      </c>
      <c r="B882" s="4">
        <v>45403</v>
      </c>
      <c r="D882">
        <v>48</v>
      </c>
      <c r="E882" t="s">
        <v>911</v>
      </c>
      <c r="F882" t="s">
        <v>917</v>
      </c>
      <c r="G882" t="s">
        <v>921</v>
      </c>
      <c r="H882">
        <v>2950.86</v>
      </c>
      <c r="I882">
        <v>4</v>
      </c>
      <c r="J882">
        <v>38</v>
      </c>
      <c r="K882" t="s">
        <v>923</v>
      </c>
      <c r="L882" t="str">
        <f>IF(ISBLANK(Table1[[#This Row],[CancelDate]]),"Active","Churned")</f>
        <v>Active</v>
      </c>
      <c r="M882">
        <f ca="1">IF(ISBLANK(Table1[[#This Row],[CancelDate]]),DATEDIF(Table1[[#This Row],[JoinDate]],TODAY(),"M"),DATEDIF(Table1[[#This Row],[JoinDate]],Table1[[#This Row],[CancelDate]],"M"))</f>
        <v>23</v>
      </c>
      <c r="N882" t="str">
        <f>IF(Table1[[#This Row],[EngagementScore]]&lt;=40,"Low",IF(Table1[[#This Row],[EngagementScore]]&lt;=70,"Medium","High"))</f>
        <v>Low</v>
      </c>
      <c r="O882" t="str">
        <f>IF(Table1[[#This Row],[Age]]&lt;25,"18-24",
IF(Table1[[#This Row],[Age]]&lt;35,"25-34",
IF(Table1[[#This Row],[Age]]&lt;45,"35-44","45+")))</f>
        <v>45+</v>
      </c>
    </row>
    <row r="883" spans="1:15" x14ac:dyDescent="0.25">
      <c r="A883" t="s">
        <v>892</v>
      </c>
      <c r="B883" s="4">
        <v>44765</v>
      </c>
      <c r="C883" s="1">
        <v>45099</v>
      </c>
      <c r="D883">
        <v>35</v>
      </c>
      <c r="E883" t="s">
        <v>911</v>
      </c>
      <c r="F883" t="s">
        <v>917</v>
      </c>
      <c r="G883" t="s">
        <v>921</v>
      </c>
      <c r="H883">
        <v>11617.44</v>
      </c>
      <c r="I883">
        <v>12</v>
      </c>
      <c r="J883">
        <v>52</v>
      </c>
      <c r="K883" t="s">
        <v>923</v>
      </c>
      <c r="L883" t="str">
        <f>IF(ISBLANK(Table1[[#This Row],[CancelDate]]),"Active","Churned")</f>
        <v>Churned</v>
      </c>
      <c r="M883">
        <f ca="1">IF(ISBLANK(Table1[[#This Row],[CancelDate]]),DATEDIF(Table1[[#This Row],[JoinDate]],TODAY(),"M"),DATEDIF(Table1[[#This Row],[JoinDate]],Table1[[#This Row],[CancelDate]],"M"))</f>
        <v>10</v>
      </c>
      <c r="N883" t="str">
        <f>IF(Table1[[#This Row],[EngagementScore]]&lt;=40,"Low",IF(Table1[[#This Row],[EngagementScore]]&lt;=70,"Medium","High"))</f>
        <v>Medium</v>
      </c>
      <c r="O883" t="str">
        <f>IF(Table1[[#This Row],[Age]]&lt;25,"18-24",
IF(Table1[[#This Row],[Age]]&lt;35,"25-34",
IF(Table1[[#This Row],[Age]]&lt;45,"35-44","45+")))</f>
        <v>35-44</v>
      </c>
    </row>
    <row r="884" spans="1:15" x14ac:dyDescent="0.25">
      <c r="A884" t="s">
        <v>893</v>
      </c>
      <c r="B884" s="4">
        <v>45067</v>
      </c>
      <c r="D884">
        <v>28</v>
      </c>
      <c r="E884" t="s">
        <v>911</v>
      </c>
      <c r="F884" t="s">
        <v>915</v>
      </c>
      <c r="G884" t="s">
        <v>920</v>
      </c>
      <c r="H884">
        <v>7116.83</v>
      </c>
      <c r="I884">
        <v>5</v>
      </c>
      <c r="J884">
        <v>63</v>
      </c>
      <c r="K884" t="s">
        <v>925</v>
      </c>
      <c r="L884" t="str">
        <f>IF(ISBLANK(Table1[[#This Row],[CancelDate]]),"Active","Churned")</f>
        <v>Active</v>
      </c>
      <c r="M884">
        <f ca="1">IF(ISBLANK(Table1[[#This Row],[CancelDate]]),DATEDIF(Table1[[#This Row],[JoinDate]],TODAY(),"M"),DATEDIF(Table1[[#This Row],[JoinDate]],Table1[[#This Row],[CancelDate]],"M"))</f>
        <v>34</v>
      </c>
      <c r="N884" t="str">
        <f>IF(Table1[[#This Row],[EngagementScore]]&lt;=40,"Low",IF(Table1[[#This Row],[EngagementScore]]&lt;=70,"Medium","High"))</f>
        <v>Medium</v>
      </c>
      <c r="O884" t="str">
        <f>IF(Table1[[#This Row],[Age]]&lt;25,"18-24",
IF(Table1[[#This Row],[Age]]&lt;35,"25-34",
IF(Table1[[#This Row],[Age]]&lt;45,"35-44","45+")))</f>
        <v>25-34</v>
      </c>
    </row>
    <row r="885" spans="1:15" x14ac:dyDescent="0.25">
      <c r="A885" t="s">
        <v>894</v>
      </c>
      <c r="B885" s="4">
        <v>44683</v>
      </c>
      <c r="D885">
        <v>39</v>
      </c>
      <c r="E885" t="s">
        <v>911</v>
      </c>
      <c r="F885" t="s">
        <v>919</v>
      </c>
      <c r="G885" t="s">
        <v>922</v>
      </c>
      <c r="H885">
        <v>9570.86</v>
      </c>
      <c r="I885">
        <v>8</v>
      </c>
      <c r="J885">
        <v>68</v>
      </c>
      <c r="K885" t="s">
        <v>923</v>
      </c>
      <c r="L885" t="str">
        <f>IF(ISBLANK(Table1[[#This Row],[CancelDate]]),"Active","Churned")</f>
        <v>Active</v>
      </c>
      <c r="M885">
        <f ca="1">IF(ISBLANK(Table1[[#This Row],[CancelDate]]),DATEDIF(Table1[[#This Row],[JoinDate]],TODAY(),"M"),DATEDIF(Table1[[#This Row],[JoinDate]],Table1[[#This Row],[CancelDate]],"M"))</f>
        <v>47</v>
      </c>
      <c r="N885" t="str">
        <f>IF(Table1[[#This Row],[EngagementScore]]&lt;=40,"Low",IF(Table1[[#This Row],[EngagementScore]]&lt;=70,"Medium","High"))</f>
        <v>Medium</v>
      </c>
      <c r="O885" t="str">
        <f>IF(Table1[[#This Row],[Age]]&lt;25,"18-24",
IF(Table1[[#This Row],[Age]]&lt;35,"25-34",
IF(Table1[[#This Row],[Age]]&lt;45,"35-44","45+")))</f>
        <v>35-44</v>
      </c>
    </row>
    <row r="886" spans="1:15" x14ac:dyDescent="0.25">
      <c r="A886" t="s">
        <v>895</v>
      </c>
      <c r="B886" s="4">
        <v>44883</v>
      </c>
      <c r="D886">
        <v>18</v>
      </c>
      <c r="E886" t="s">
        <v>911</v>
      </c>
      <c r="F886" t="s">
        <v>919</v>
      </c>
      <c r="G886" t="s">
        <v>922</v>
      </c>
      <c r="H886">
        <v>20060.12</v>
      </c>
      <c r="I886">
        <v>29</v>
      </c>
      <c r="J886">
        <v>70</v>
      </c>
      <c r="K886" t="s">
        <v>913</v>
      </c>
      <c r="L886" t="str">
        <f>IF(ISBLANK(Table1[[#This Row],[CancelDate]]),"Active","Churned")</f>
        <v>Active</v>
      </c>
      <c r="M886">
        <f ca="1">IF(ISBLANK(Table1[[#This Row],[CancelDate]]),DATEDIF(Table1[[#This Row],[JoinDate]],TODAY(),"M"),DATEDIF(Table1[[#This Row],[JoinDate]],Table1[[#This Row],[CancelDate]],"M"))</f>
        <v>40</v>
      </c>
      <c r="N886" t="str">
        <f>IF(Table1[[#This Row],[EngagementScore]]&lt;=40,"Low",IF(Table1[[#This Row],[EngagementScore]]&lt;=70,"Medium","High"))</f>
        <v>Medium</v>
      </c>
      <c r="O886" t="str">
        <f>IF(Table1[[#This Row],[Age]]&lt;25,"18-24",
IF(Table1[[#This Row],[Age]]&lt;35,"25-34",
IF(Table1[[#This Row],[Age]]&lt;45,"35-44","45+")))</f>
        <v>18-24</v>
      </c>
    </row>
    <row r="887" spans="1:15" x14ac:dyDescent="0.25">
      <c r="A887" t="s">
        <v>896</v>
      </c>
      <c r="B887" s="4">
        <v>45044</v>
      </c>
      <c r="D887">
        <v>26</v>
      </c>
      <c r="E887" t="s">
        <v>911</v>
      </c>
      <c r="F887" t="s">
        <v>919</v>
      </c>
      <c r="G887" t="s">
        <v>920</v>
      </c>
      <c r="H887">
        <v>6137.87</v>
      </c>
      <c r="I887">
        <v>11</v>
      </c>
      <c r="J887">
        <v>45</v>
      </c>
      <c r="K887" t="s">
        <v>924</v>
      </c>
      <c r="L887" t="str">
        <f>IF(ISBLANK(Table1[[#This Row],[CancelDate]]),"Active","Churned")</f>
        <v>Active</v>
      </c>
      <c r="M887">
        <f ca="1">IF(ISBLANK(Table1[[#This Row],[CancelDate]]),DATEDIF(Table1[[#This Row],[JoinDate]],TODAY(),"M"),DATEDIF(Table1[[#This Row],[JoinDate]],Table1[[#This Row],[CancelDate]],"M"))</f>
        <v>35</v>
      </c>
      <c r="N887" t="str">
        <f>IF(Table1[[#This Row],[EngagementScore]]&lt;=40,"Low",IF(Table1[[#This Row],[EngagementScore]]&lt;=70,"Medium","High"))</f>
        <v>Medium</v>
      </c>
      <c r="O887" t="str">
        <f>IF(Table1[[#This Row],[Age]]&lt;25,"18-24",
IF(Table1[[#This Row],[Age]]&lt;35,"25-34",
IF(Table1[[#This Row],[Age]]&lt;45,"35-44","45+")))</f>
        <v>25-34</v>
      </c>
    </row>
    <row r="888" spans="1:15" x14ac:dyDescent="0.25">
      <c r="A888" t="s">
        <v>897</v>
      </c>
      <c r="B888" s="4">
        <v>45265</v>
      </c>
      <c r="D888">
        <v>53</v>
      </c>
      <c r="E888" t="s">
        <v>912</v>
      </c>
      <c r="F888" t="s">
        <v>915</v>
      </c>
      <c r="G888" t="s">
        <v>921</v>
      </c>
      <c r="H888">
        <v>9496.44</v>
      </c>
      <c r="I888">
        <v>6</v>
      </c>
      <c r="J888">
        <v>62</v>
      </c>
      <c r="K888" t="s">
        <v>924</v>
      </c>
      <c r="L888" t="str">
        <f>IF(ISBLANK(Table1[[#This Row],[CancelDate]]),"Active","Churned")</f>
        <v>Active</v>
      </c>
      <c r="M888">
        <f ca="1">IF(ISBLANK(Table1[[#This Row],[CancelDate]]),DATEDIF(Table1[[#This Row],[JoinDate]],TODAY(),"M"),DATEDIF(Table1[[#This Row],[JoinDate]],Table1[[#This Row],[CancelDate]],"M"))</f>
        <v>27</v>
      </c>
      <c r="N888" t="str">
        <f>IF(Table1[[#This Row],[EngagementScore]]&lt;=40,"Low",IF(Table1[[#This Row],[EngagementScore]]&lt;=70,"Medium","High"))</f>
        <v>Medium</v>
      </c>
      <c r="O888" t="str">
        <f>IF(Table1[[#This Row],[Age]]&lt;25,"18-24",
IF(Table1[[#This Row],[Age]]&lt;35,"25-34",
IF(Table1[[#This Row],[Age]]&lt;45,"35-44","45+")))</f>
        <v>45+</v>
      </c>
    </row>
    <row r="889" spans="1:15" x14ac:dyDescent="0.25">
      <c r="A889" t="s">
        <v>898</v>
      </c>
      <c r="B889" s="4">
        <v>44643</v>
      </c>
      <c r="D889">
        <v>51</v>
      </c>
      <c r="E889" t="s">
        <v>912</v>
      </c>
      <c r="F889" t="s">
        <v>915</v>
      </c>
      <c r="G889" t="s">
        <v>922</v>
      </c>
      <c r="H889">
        <v>28700.03</v>
      </c>
      <c r="I889">
        <v>15</v>
      </c>
      <c r="J889">
        <v>72</v>
      </c>
      <c r="K889" t="s">
        <v>923</v>
      </c>
      <c r="L889" t="str">
        <f>IF(ISBLANK(Table1[[#This Row],[CancelDate]]),"Active","Churned")</f>
        <v>Active</v>
      </c>
      <c r="M889">
        <f ca="1">IF(ISBLANK(Table1[[#This Row],[CancelDate]]),DATEDIF(Table1[[#This Row],[JoinDate]],TODAY(),"M"),DATEDIF(Table1[[#This Row],[JoinDate]],Table1[[#This Row],[CancelDate]],"M"))</f>
        <v>48</v>
      </c>
      <c r="N889" t="str">
        <f>IF(Table1[[#This Row],[EngagementScore]]&lt;=40,"Low",IF(Table1[[#This Row],[EngagementScore]]&lt;=70,"Medium","High"))</f>
        <v>High</v>
      </c>
      <c r="O889" t="str">
        <f>IF(Table1[[#This Row],[Age]]&lt;25,"18-24",
IF(Table1[[#This Row],[Age]]&lt;35,"25-34",
IF(Table1[[#This Row],[Age]]&lt;45,"35-44","45+")))</f>
        <v>45+</v>
      </c>
    </row>
    <row r="890" spans="1:15" x14ac:dyDescent="0.25">
      <c r="A890" t="s">
        <v>899</v>
      </c>
      <c r="B890" s="4">
        <v>44695</v>
      </c>
      <c r="D890">
        <v>44</v>
      </c>
      <c r="E890" t="s">
        <v>912</v>
      </c>
      <c r="F890" t="s">
        <v>918</v>
      </c>
      <c r="G890" t="s">
        <v>922</v>
      </c>
      <c r="H890">
        <v>10351.67</v>
      </c>
      <c r="I890">
        <v>5</v>
      </c>
      <c r="J890">
        <v>59</v>
      </c>
      <c r="K890" t="s">
        <v>925</v>
      </c>
      <c r="L890" t="str">
        <f>IF(ISBLANK(Table1[[#This Row],[CancelDate]]),"Active","Churned")</f>
        <v>Active</v>
      </c>
      <c r="M890">
        <f ca="1">IF(ISBLANK(Table1[[#This Row],[CancelDate]]),DATEDIF(Table1[[#This Row],[JoinDate]],TODAY(),"M"),DATEDIF(Table1[[#This Row],[JoinDate]],Table1[[#This Row],[CancelDate]],"M"))</f>
        <v>46</v>
      </c>
      <c r="N890" t="str">
        <f>IF(Table1[[#This Row],[EngagementScore]]&lt;=40,"Low",IF(Table1[[#This Row],[EngagementScore]]&lt;=70,"Medium","High"))</f>
        <v>Medium</v>
      </c>
      <c r="O890" t="str">
        <f>IF(Table1[[#This Row],[Age]]&lt;25,"18-24",
IF(Table1[[#This Row],[Age]]&lt;35,"25-34",
IF(Table1[[#This Row],[Age]]&lt;45,"35-44","45+")))</f>
        <v>35-44</v>
      </c>
    </row>
    <row r="891" spans="1:15" x14ac:dyDescent="0.25">
      <c r="A891" t="s">
        <v>900</v>
      </c>
      <c r="B891" s="4">
        <v>45185</v>
      </c>
      <c r="D891">
        <v>52</v>
      </c>
      <c r="E891" t="s">
        <v>911</v>
      </c>
      <c r="F891" t="s">
        <v>914</v>
      </c>
      <c r="G891" t="s">
        <v>921</v>
      </c>
      <c r="H891">
        <v>19452.07</v>
      </c>
      <c r="I891">
        <v>28</v>
      </c>
      <c r="J891">
        <v>94</v>
      </c>
      <c r="K891" t="s">
        <v>925</v>
      </c>
      <c r="L891" t="str">
        <f>IF(ISBLANK(Table1[[#This Row],[CancelDate]]),"Active","Churned")</f>
        <v>Active</v>
      </c>
      <c r="M891">
        <f ca="1">IF(ISBLANK(Table1[[#This Row],[CancelDate]]),DATEDIF(Table1[[#This Row],[JoinDate]],TODAY(),"M"),DATEDIF(Table1[[#This Row],[JoinDate]],Table1[[#This Row],[CancelDate]],"M"))</f>
        <v>30</v>
      </c>
      <c r="N891" t="str">
        <f>IF(Table1[[#This Row],[EngagementScore]]&lt;=40,"Low",IF(Table1[[#This Row],[EngagementScore]]&lt;=70,"Medium","High"))</f>
        <v>High</v>
      </c>
      <c r="O891" t="str">
        <f>IF(Table1[[#This Row],[Age]]&lt;25,"18-24",
IF(Table1[[#This Row],[Age]]&lt;35,"25-34",
IF(Table1[[#This Row],[Age]]&lt;45,"35-44","45+")))</f>
        <v>45+</v>
      </c>
    </row>
    <row r="892" spans="1:15" x14ac:dyDescent="0.25">
      <c r="A892" t="s">
        <v>901</v>
      </c>
      <c r="B892" s="4">
        <v>45005</v>
      </c>
      <c r="D892">
        <v>59</v>
      </c>
      <c r="E892" t="s">
        <v>912</v>
      </c>
      <c r="F892" t="s">
        <v>914</v>
      </c>
      <c r="G892" t="s">
        <v>922</v>
      </c>
      <c r="H892">
        <v>5945.26</v>
      </c>
      <c r="I892">
        <v>7</v>
      </c>
      <c r="J892">
        <v>59</v>
      </c>
      <c r="K892" t="s">
        <v>924</v>
      </c>
      <c r="L892" t="str">
        <f>IF(ISBLANK(Table1[[#This Row],[CancelDate]]),"Active","Churned")</f>
        <v>Active</v>
      </c>
      <c r="M892">
        <f ca="1">IF(ISBLANK(Table1[[#This Row],[CancelDate]]),DATEDIF(Table1[[#This Row],[JoinDate]],TODAY(),"M"),DATEDIF(Table1[[#This Row],[JoinDate]],Table1[[#This Row],[CancelDate]],"M"))</f>
        <v>36</v>
      </c>
      <c r="N892" t="str">
        <f>IF(Table1[[#This Row],[EngagementScore]]&lt;=40,"Low",IF(Table1[[#This Row],[EngagementScore]]&lt;=70,"Medium","High"))</f>
        <v>Medium</v>
      </c>
      <c r="O892" t="str">
        <f>IF(Table1[[#This Row],[Age]]&lt;25,"18-24",
IF(Table1[[#This Row],[Age]]&lt;35,"25-34",
IF(Table1[[#This Row],[Age]]&lt;45,"35-44","45+")))</f>
        <v>45+</v>
      </c>
    </row>
    <row r="893" spans="1:15" x14ac:dyDescent="0.25">
      <c r="A893" t="s">
        <v>902</v>
      </c>
      <c r="B893" s="4">
        <v>45240</v>
      </c>
      <c r="D893">
        <v>58</v>
      </c>
      <c r="E893" t="s">
        <v>912</v>
      </c>
      <c r="F893" t="s">
        <v>917</v>
      </c>
      <c r="G893" t="s">
        <v>921</v>
      </c>
      <c r="H893">
        <v>3873.76</v>
      </c>
      <c r="I893">
        <v>6</v>
      </c>
      <c r="J893">
        <v>18</v>
      </c>
      <c r="K893" t="s">
        <v>925</v>
      </c>
      <c r="L893" t="str">
        <f>IF(ISBLANK(Table1[[#This Row],[CancelDate]]),"Active","Churned")</f>
        <v>Active</v>
      </c>
      <c r="M893">
        <f ca="1">IF(ISBLANK(Table1[[#This Row],[CancelDate]]),DATEDIF(Table1[[#This Row],[JoinDate]],TODAY(),"M"),DATEDIF(Table1[[#This Row],[JoinDate]],Table1[[#This Row],[CancelDate]],"M"))</f>
        <v>28</v>
      </c>
      <c r="N893" t="str">
        <f>IF(Table1[[#This Row],[EngagementScore]]&lt;=40,"Low",IF(Table1[[#This Row],[EngagementScore]]&lt;=70,"Medium","High"))</f>
        <v>Low</v>
      </c>
      <c r="O893" t="str">
        <f>IF(Table1[[#This Row],[Age]]&lt;25,"18-24",
IF(Table1[[#This Row],[Age]]&lt;35,"25-34",
IF(Table1[[#This Row],[Age]]&lt;45,"35-44","45+")))</f>
        <v>45+</v>
      </c>
    </row>
    <row r="894" spans="1:15" x14ac:dyDescent="0.25">
      <c r="A894" t="s">
        <v>903</v>
      </c>
      <c r="B894" s="4">
        <v>45425</v>
      </c>
      <c r="D894">
        <v>55</v>
      </c>
      <c r="E894" t="s">
        <v>912</v>
      </c>
      <c r="F894" t="s">
        <v>916</v>
      </c>
      <c r="G894" t="s">
        <v>921</v>
      </c>
      <c r="H894">
        <v>5640.28</v>
      </c>
      <c r="I894">
        <v>2</v>
      </c>
      <c r="J894">
        <v>10</v>
      </c>
      <c r="K894" t="s">
        <v>925</v>
      </c>
      <c r="L894" t="str">
        <f>IF(ISBLANK(Table1[[#This Row],[CancelDate]]),"Active","Churned")</f>
        <v>Active</v>
      </c>
      <c r="M894">
        <f ca="1">IF(ISBLANK(Table1[[#This Row],[CancelDate]]),DATEDIF(Table1[[#This Row],[JoinDate]],TODAY(),"M"),DATEDIF(Table1[[#This Row],[JoinDate]],Table1[[#This Row],[CancelDate]],"M"))</f>
        <v>22</v>
      </c>
      <c r="N894" t="str">
        <f>IF(Table1[[#This Row],[EngagementScore]]&lt;=40,"Low",IF(Table1[[#This Row],[EngagementScore]]&lt;=70,"Medium","High"))</f>
        <v>Low</v>
      </c>
      <c r="O894" t="str">
        <f>IF(Table1[[#This Row],[Age]]&lt;25,"18-24",
IF(Table1[[#This Row],[Age]]&lt;35,"25-34",
IF(Table1[[#This Row],[Age]]&lt;45,"35-44","45+")))</f>
        <v>45+</v>
      </c>
    </row>
    <row r="895" spans="1:15" x14ac:dyDescent="0.25">
      <c r="A895" t="s">
        <v>904</v>
      </c>
      <c r="B895" s="4">
        <v>44612</v>
      </c>
      <c r="C895" s="1">
        <v>44709</v>
      </c>
      <c r="D895">
        <v>36</v>
      </c>
      <c r="E895" t="s">
        <v>912</v>
      </c>
      <c r="F895" t="s">
        <v>919</v>
      </c>
      <c r="G895" t="s">
        <v>920</v>
      </c>
      <c r="H895">
        <v>12954.22</v>
      </c>
      <c r="I895">
        <v>6</v>
      </c>
      <c r="J895">
        <v>65</v>
      </c>
      <c r="K895" t="s">
        <v>924</v>
      </c>
      <c r="L895" t="str">
        <f>IF(ISBLANK(Table1[[#This Row],[CancelDate]]),"Active","Churned")</f>
        <v>Churned</v>
      </c>
      <c r="M895">
        <f ca="1">IF(ISBLANK(Table1[[#This Row],[CancelDate]]),DATEDIF(Table1[[#This Row],[JoinDate]],TODAY(),"M"),DATEDIF(Table1[[#This Row],[JoinDate]],Table1[[#This Row],[CancelDate]],"M"))</f>
        <v>3</v>
      </c>
      <c r="N895" t="str">
        <f>IF(Table1[[#This Row],[EngagementScore]]&lt;=40,"Low",IF(Table1[[#This Row],[EngagementScore]]&lt;=70,"Medium","High"))</f>
        <v>Medium</v>
      </c>
      <c r="O895" t="str">
        <f>IF(Table1[[#This Row],[Age]]&lt;25,"18-24",
IF(Table1[[#This Row],[Age]]&lt;35,"25-34",
IF(Table1[[#This Row],[Age]]&lt;45,"35-44","45+")))</f>
        <v>35-44</v>
      </c>
    </row>
    <row r="896" spans="1:15" x14ac:dyDescent="0.25">
      <c r="A896" t="s">
        <v>905</v>
      </c>
      <c r="B896" s="4">
        <v>44704</v>
      </c>
      <c r="D896">
        <v>36</v>
      </c>
      <c r="E896" t="s">
        <v>911</v>
      </c>
      <c r="F896" t="s">
        <v>919</v>
      </c>
      <c r="G896" t="s">
        <v>920</v>
      </c>
      <c r="H896">
        <v>14749.22</v>
      </c>
      <c r="I896">
        <v>8</v>
      </c>
      <c r="J896">
        <v>49</v>
      </c>
      <c r="K896" t="s">
        <v>925</v>
      </c>
      <c r="L896" t="str">
        <f>IF(ISBLANK(Table1[[#This Row],[CancelDate]]),"Active","Churned")</f>
        <v>Active</v>
      </c>
      <c r="M896">
        <f ca="1">IF(ISBLANK(Table1[[#This Row],[CancelDate]]),DATEDIF(Table1[[#This Row],[JoinDate]],TODAY(),"M"),DATEDIF(Table1[[#This Row],[JoinDate]],Table1[[#This Row],[CancelDate]],"M"))</f>
        <v>46</v>
      </c>
      <c r="N896" t="str">
        <f>IF(Table1[[#This Row],[EngagementScore]]&lt;=40,"Low",IF(Table1[[#This Row],[EngagementScore]]&lt;=70,"Medium","High"))</f>
        <v>Medium</v>
      </c>
      <c r="O896" t="str">
        <f>IF(Table1[[#This Row],[Age]]&lt;25,"18-24",
IF(Table1[[#This Row],[Age]]&lt;35,"25-34",
IF(Table1[[#This Row],[Age]]&lt;45,"35-44","45+")))</f>
        <v>35-44</v>
      </c>
    </row>
    <row r="897" spans="1:15" x14ac:dyDescent="0.25">
      <c r="A897" t="s">
        <v>906</v>
      </c>
      <c r="B897" s="4">
        <v>45064</v>
      </c>
      <c r="D897">
        <v>37</v>
      </c>
      <c r="E897" t="s">
        <v>911</v>
      </c>
      <c r="F897" t="s">
        <v>917</v>
      </c>
      <c r="G897" t="s">
        <v>921</v>
      </c>
      <c r="H897">
        <v>7893.25</v>
      </c>
      <c r="I897">
        <v>4</v>
      </c>
      <c r="J897">
        <v>12</v>
      </c>
      <c r="K897" t="s">
        <v>923</v>
      </c>
      <c r="L897" t="str">
        <f>IF(ISBLANK(Table1[[#This Row],[CancelDate]]),"Active","Churned")</f>
        <v>Active</v>
      </c>
      <c r="M897">
        <f ca="1">IF(ISBLANK(Table1[[#This Row],[CancelDate]]),DATEDIF(Table1[[#This Row],[JoinDate]],TODAY(),"M"),DATEDIF(Table1[[#This Row],[JoinDate]],Table1[[#This Row],[CancelDate]],"M"))</f>
        <v>34</v>
      </c>
      <c r="N897" t="str">
        <f>IF(Table1[[#This Row],[EngagementScore]]&lt;=40,"Low",IF(Table1[[#This Row],[EngagementScore]]&lt;=70,"Medium","High"))</f>
        <v>Low</v>
      </c>
      <c r="O897" t="str">
        <f>IF(Table1[[#This Row],[Age]]&lt;25,"18-24",
IF(Table1[[#This Row],[Age]]&lt;35,"25-34",
IF(Table1[[#This Row],[Age]]&lt;45,"35-44","45+")))</f>
        <v>35-44</v>
      </c>
    </row>
    <row r="898" spans="1:15" x14ac:dyDescent="0.25">
      <c r="A898" t="s">
        <v>907</v>
      </c>
      <c r="B898" s="4">
        <v>44682</v>
      </c>
      <c r="D898">
        <v>54</v>
      </c>
      <c r="E898" t="s">
        <v>912</v>
      </c>
      <c r="F898" t="s">
        <v>916</v>
      </c>
      <c r="G898" t="s">
        <v>921</v>
      </c>
      <c r="H898">
        <v>23680.38</v>
      </c>
      <c r="I898">
        <v>15</v>
      </c>
      <c r="J898">
        <v>72</v>
      </c>
      <c r="K898" t="s">
        <v>925</v>
      </c>
      <c r="L898" t="str">
        <f>IF(ISBLANK(Table1[[#This Row],[CancelDate]]),"Active","Churned")</f>
        <v>Active</v>
      </c>
      <c r="M898">
        <f ca="1">IF(ISBLANK(Table1[[#This Row],[CancelDate]]),DATEDIF(Table1[[#This Row],[JoinDate]],TODAY(),"M"),DATEDIF(Table1[[#This Row],[JoinDate]],Table1[[#This Row],[CancelDate]],"M"))</f>
        <v>47</v>
      </c>
      <c r="N898" t="str">
        <f>IF(Table1[[#This Row],[EngagementScore]]&lt;=40,"Low",IF(Table1[[#This Row],[EngagementScore]]&lt;=70,"Medium","High"))</f>
        <v>High</v>
      </c>
      <c r="O898" t="str">
        <f>IF(Table1[[#This Row],[Age]]&lt;25,"18-24",
IF(Table1[[#This Row],[Age]]&lt;35,"25-34",
IF(Table1[[#This Row],[Age]]&lt;45,"35-44","45+")))</f>
        <v>45+</v>
      </c>
    </row>
    <row r="899" spans="1:15" x14ac:dyDescent="0.25">
      <c r="A899" t="s">
        <v>908</v>
      </c>
      <c r="B899" s="4">
        <v>45283</v>
      </c>
      <c r="D899">
        <v>42</v>
      </c>
      <c r="E899" t="s">
        <v>911</v>
      </c>
      <c r="F899" t="s">
        <v>917</v>
      </c>
      <c r="G899" t="s">
        <v>921</v>
      </c>
      <c r="H899">
        <v>4397.24</v>
      </c>
      <c r="I899">
        <v>5</v>
      </c>
      <c r="J899">
        <v>10</v>
      </c>
      <c r="K899" t="s">
        <v>923</v>
      </c>
      <c r="L899" t="str">
        <f>IF(ISBLANK(Table1[[#This Row],[CancelDate]]),"Active","Churned")</f>
        <v>Active</v>
      </c>
      <c r="M899">
        <f ca="1">IF(ISBLANK(Table1[[#This Row],[CancelDate]]),DATEDIF(Table1[[#This Row],[JoinDate]],TODAY(),"M"),DATEDIF(Table1[[#This Row],[JoinDate]],Table1[[#This Row],[CancelDate]],"M"))</f>
        <v>27</v>
      </c>
      <c r="N899" t="str">
        <f>IF(Table1[[#This Row],[EngagementScore]]&lt;=40,"Low",IF(Table1[[#This Row],[EngagementScore]]&lt;=70,"Medium","High"))</f>
        <v>Low</v>
      </c>
      <c r="O899" t="str">
        <f>IF(Table1[[#This Row],[Age]]&lt;25,"18-24",
IF(Table1[[#This Row],[Age]]&lt;35,"25-34",
IF(Table1[[#This Row],[Age]]&lt;45,"35-44","45+")))</f>
        <v>35-44</v>
      </c>
    </row>
    <row r="900" spans="1:15" x14ac:dyDescent="0.25">
      <c r="A900" t="s">
        <v>909</v>
      </c>
      <c r="B900" s="4">
        <v>45032</v>
      </c>
      <c r="D900">
        <v>49</v>
      </c>
      <c r="E900" t="s">
        <v>911</v>
      </c>
      <c r="F900" t="s">
        <v>914</v>
      </c>
      <c r="G900" t="s">
        <v>920</v>
      </c>
      <c r="H900">
        <v>9650.0499999999993</v>
      </c>
      <c r="I900">
        <v>8</v>
      </c>
      <c r="J900">
        <v>49</v>
      </c>
      <c r="K900" t="s">
        <v>923</v>
      </c>
      <c r="L900" t="str">
        <f>IF(ISBLANK(Table1[[#This Row],[CancelDate]]),"Active","Churned")</f>
        <v>Active</v>
      </c>
      <c r="M900">
        <f ca="1">IF(ISBLANK(Table1[[#This Row],[CancelDate]]),DATEDIF(Table1[[#This Row],[JoinDate]],TODAY(),"M"),DATEDIF(Table1[[#This Row],[JoinDate]],Table1[[#This Row],[CancelDate]],"M"))</f>
        <v>35</v>
      </c>
      <c r="N900" t="str">
        <f>IF(Table1[[#This Row],[EngagementScore]]&lt;=40,"Low",IF(Table1[[#This Row],[EngagementScore]]&lt;=70,"Medium","High"))</f>
        <v>Medium</v>
      </c>
      <c r="O900" t="str">
        <f>IF(Table1[[#This Row],[Age]]&lt;25,"18-24",
IF(Table1[[#This Row],[Age]]&lt;35,"25-34",
IF(Table1[[#This Row],[Age]]&lt;45,"35-44","45+")))</f>
        <v>45+</v>
      </c>
    </row>
    <row r="901" spans="1:15" x14ac:dyDescent="0.25">
      <c r="A901" t="s">
        <v>910</v>
      </c>
      <c r="B901" s="4">
        <v>44962</v>
      </c>
      <c r="C901" s="1">
        <v>45104</v>
      </c>
      <c r="D901">
        <v>18</v>
      </c>
      <c r="E901" t="s">
        <v>911</v>
      </c>
      <c r="F901" t="s">
        <v>917</v>
      </c>
      <c r="G901" t="s">
        <v>921</v>
      </c>
      <c r="H901">
        <v>9451.35</v>
      </c>
      <c r="I901">
        <v>6</v>
      </c>
      <c r="J901">
        <v>50</v>
      </c>
      <c r="K901" t="s">
        <v>925</v>
      </c>
      <c r="L901" t="str">
        <f>IF(ISBLANK(Table1[[#This Row],[CancelDate]]),"Active","Churned")</f>
        <v>Churned</v>
      </c>
      <c r="M901">
        <f ca="1">IF(ISBLANK(Table1[[#This Row],[CancelDate]]),DATEDIF(Table1[[#This Row],[JoinDate]],TODAY(),"M"),DATEDIF(Table1[[#This Row],[JoinDate]],Table1[[#This Row],[CancelDate]],"M"))</f>
        <v>4</v>
      </c>
      <c r="N901" t="str">
        <f>IF(Table1[[#This Row],[EngagementScore]]&lt;=40,"Low",IF(Table1[[#This Row],[EngagementScore]]&lt;=70,"Medium","High"))</f>
        <v>Medium</v>
      </c>
      <c r="O901" t="str">
        <f>IF(Table1[[#This Row],[Age]]&lt;25,"18-24",
IF(Table1[[#This Row],[Age]]&lt;35,"25-34",
IF(Table1[[#This Row],[Age]]&lt;45,"35-44","45+")))</f>
        <v>18-24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Churn rate by customer segment</vt:lpstr>
      <vt:lpstr>Subscription Type vs Churn</vt:lpstr>
      <vt:lpstr>Engagement vs Churn</vt:lpstr>
      <vt:lpstr>Age Group vs churn</vt:lpstr>
      <vt:lpstr>Subscription Average Months</vt:lpstr>
      <vt:lpstr>Average revenue by customer</vt:lpstr>
      <vt:lpstr>Sheet7</vt:lpstr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Pramitava Das [MBA - 2023]</cp:lastModifiedBy>
  <dcterms:created xsi:type="dcterms:W3CDTF">2026-03-17T14:49:44Z</dcterms:created>
  <dcterms:modified xsi:type="dcterms:W3CDTF">2026-04-01T18:48:27Z</dcterms:modified>
</cp:coreProperties>
</file>